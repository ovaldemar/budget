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DEMAR\Desktop\JavaScript\budget\"/>
    </mc:Choice>
  </mc:AlternateContent>
  <xr:revisionPtr revIDLastSave="0" documentId="8_{2081E0A9-B6D1-4F2E-B3C9-F5F2CC8EAA2A}" xr6:coauthVersionLast="47" xr6:coauthVersionMax="47" xr10:uidLastSave="{00000000-0000-0000-0000-000000000000}"/>
  <bookViews>
    <workbookView xWindow="-108" yWindow="-108" windowWidth="23256" windowHeight="13896" xr2:uid="{C2A26C21-7E9A-4949-98DE-0F479B0A61B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2" i="1" l="1"/>
  <c r="AH251" i="1"/>
  <c r="B249" i="1"/>
  <c r="AH248" i="1"/>
  <c r="B246" i="1"/>
  <c r="AH245" i="1"/>
  <c r="B243" i="1"/>
  <c r="AH242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4" i="1"/>
  <c r="AH233" i="1"/>
  <c r="B231" i="1"/>
  <c r="AH230" i="1"/>
  <c r="B228" i="1"/>
  <c r="AH227" i="1"/>
  <c r="B225" i="1"/>
  <c r="AH224" i="1"/>
  <c r="B215" i="1"/>
  <c r="AH214" i="1"/>
  <c r="B212" i="1"/>
  <c r="AH211" i="1"/>
  <c r="B209" i="1"/>
  <c r="AH208" i="1"/>
  <c r="B206" i="1"/>
  <c r="AH205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199" i="1"/>
  <c r="AH198" i="1"/>
  <c r="B196" i="1"/>
  <c r="AH195" i="1"/>
  <c r="B193" i="1"/>
  <c r="AH192" i="1"/>
  <c r="B190" i="1"/>
  <c r="AH189" i="1"/>
  <c r="B187" i="1"/>
  <c r="AH186" i="1"/>
  <c r="B181" i="1"/>
  <c r="AH180" i="1"/>
  <c r="B178" i="1"/>
  <c r="AH177" i="1"/>
  <c r="B175" i="1"/>
  <c r="AH174" i="1"/>
  <c r="B172" i="1"/>
  <c r="AH171" i="1"/>
  <c r="B169" i="1"/>
  <c r="AH168" i="1"/>
  <c r="B164" i="1"/>
  <c r="AH163" i="1"/>
  <c r="B161" i="1"/>
  <c r="AH160" i="1"/>
  <c r="B158" i="1"/>
  <c r="AH157" i="1"/>
  <c r="B155" i="1"/>
  <c r="AH154" i="1"/>
  <c r="B152" i="1"/>
  <c r="AH151" i="1"/>
  <c r="B149" i="1"/>
  <c r="AH148" i="1"/>
  <c r="B146" i="1"/>
  <c r="AH145" i="1"/>
  <c r="B143" i="1"/>
  <c r="AH142" i="1"/>
  <c r="B138" i="1"/>
  <c r="AH137" i="1"/>
  <c r="B135" i="1"/>
  <c r="AH134" i="1"/>
  <c r="B132" i="1"/>
  <c r="AH131" i="1"/>
  <c r="B129" i="1"/>
  <c r="AH128" i="1"/>
  <c r="B126" i="1"/>
  <c r="AH125" i="1"/>
  <c r="B121" i="1"/>
  <c r="AH120" i="1"/>
  <c r="B118" i="1"/>
  <c r="AH117" i="1"/>
  <c r="B115" i="1"/>
  <c r="AH114" i="1"/>
  <c r="B112" i="1"/>
  <c r="AH111" i="1"/>
  <c r="B107" i="1"/>
  <c r="AH106" i="1"/>
  <c r="B104" i="1"/>
  <c r="AH103" i="1"/>
  <c r="B101" i="1"/>
  <c r="AH100" i="1"/>
  <c r="B98" i="1"/>
  <c r="AH97" i="1"/>
  <c r="B95" i="1"/>
  <c r="AH94" i="1"/>
  <c r="B92" i="1"/>
  <c r="AH91" i="1"/>
  <c r="B87" i="1"/>
  <c r="AH86" i="1"/>
  <c r="B84" i="1"/>
  <c r="AH83" i="1"/>
  <c r="B81" i="1"/>
  <c r="AH80" i="1"/>
  <c r="B78" i="1"/>
  <c r="AH77" i="1"/>
  <c r="B72" i="1"/>
  <c r="AH71" i="1"/>
  <c r="B69" i="1"/>
  <c r="AH68" i="1"/>
  <c r="B66" i="1"/>
  <c r="AH65" i="1"/>
  <c r="B63" i="1"/>
  <c r="AH62" i="1"/>
  <c r="B60" i="1"/>
  <c r="AH59" i="1"/>
  <c r="B56" i="1"/>
  <c r="AH55" i="1"/>
  <c r="B53" i="1"/>
  <c r="AH52" i="1"/>
  <c r="B50" i="1"/>
  <c r="AH49" i="1"/>
  <c r="B47" i="1"/>
  <c r="AH46" i="1"/>
  <c r="B37" i="1"/>
  <c r="AH36" i="1"/>
  <c r="B34" i="1"/>
  <c r="AH33" i="1"/>
  <c r="B31" i="1"/>
  <c r="AH30" i="1"/>
  <c r="B28" i="1"/>
  <c r="AH27" i="1"/>
  <c r="B25" i="1"/>
  <c r="AH24" i="1"/>
  <c r="B22" i="1"/>
  <c r="AH21" i="1"/>
  <c r="B17" i="1"/>
  <c r="AH16" i="1"/>
  <c r="B14" i="1"/>
  <c r="AH13" i="1"/>
  <c r="B11" i="1"/>
  <c r="AH10" i="1"/>
  <c r="B8" i="1"/>
  <c r="AH7" i="1"/>
  <c r="B5" i="1"/>
  <c r="AH4" i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Возмищева Ирина</author>
    <author>Рябков Артем</author>
    <author>Коростелева Елена</author>
    <author>Тиунов Александр</author>
  </authors>
  <commentList>
    <comment ref="S3" authorId="0" shapeId="0" xr:uid="{A04D1D93-5B52-4B58-8577-F5CD10F11C11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есть вредность на линии</t>
        </r>
      </text>
    </comment>
    <comment ref="A4" authorId="1" shapeId="0" xr:uid="{464AB9ED-192A-404F-B7DC-6F380BB182EB}">
      <text>
        <r>
          <rPr>
            <b/>
            <sz val="9"/>
            <color indexed="81"/>
            <rFont val="Tahoma"/>
            <family val="2"/>
            <charset val="204"/>
          </rPr>
          <t xml:space="preserve">Рябков Артем: </t>
        </r>
        <r>
          <rPr>
            <sz val="9"/>
            <color indexed="81"/>
            <rFont val="Tahoma"/>
            <family val="2"/>
            <charset val="204"/>
          </rPr>
          <t xml:space="preserve">
89223702074
Зайцев Александр Николаевич</t>
        </r>
      </text>
    </comment>
    <comment ref="A7" authorId="1" shapeId="0" xr:uid="{07F9B9F2-3E88-4BCC-9CC4-DA1667A80A6D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Завьялов Владимир Юрьевич +79194943544</t>
        </r>
      </text>
    </comment>
    <comment ref="B7" authorId="0" shapeId="0" xr:uid="{A3077D2C-8EBB-416B-AF22-61136EBD16CC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 01.03.23г перевод из синего (27) в фиолет (27) график</t>
        </r>
      </text>
    </comment>
    <comment ref="N7" authorId="2" shapeId="0" xr:uid="{BA66775A-BD21-49EC-9688-C936D9972926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 60-1</t>
        </r>
      </text>
    </comment>
    <comment ref="AA7" authorId="2" shapeId="0" xr:uid="{8BD64CAC-0352-402A-A6C8-0DD3909E0464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 60-1</t>
        </r>
      </text>
    </comment>
    <comment ref="A10" authorId="1" shapeId="0" xr:uid="{3C225BF1-957D-4FC8-8022-60F1941C51C1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Таланкин Владимир Сергеевич +79526415947</t>
        </r>
      </text>
    </comment>
    <comment ref="B10" authorId="0" shapeId="0" xr:uid="{5EC17DCF-B2B6-4984-981B-B7CEF4B078F9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 01.01.23 ПЕРЕВОД В ФИОЛЕТ ГРАФИК</t>
        </r>
      </text>
    </comment>
    <comment ref="A13" authorId="1" shapeId="0" xr:uid="{D04A8D00-C0CA-437F-A63E-367AD99F5670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Хлебалов Василий Николаевич +79048456693</t>
        </r>
      </text>
    </comment>
    <comment ref="A16" authorId="1" shapeId="0" xr:uid="{B2A32BB3-3624-46CB-980F-90AA548582FD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Терехин Юрий Анатольевич +79125858825</t>
        </r>
      </text>
    </comment>
    <comment ref="A21" authorId="0" shapeId="0" xr:uid="{68903C5B-BE1A-450F-9D0D-369576E50EF5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Пупышев Александр Сергеевич 8-982-498-55-23</t>
        </r>
      </text>
    </comment>
    <comment ref="B21" authorId="0" shapeId="0" xr:uid="{18D06494-2B30-456A-B75B-9C31CB2E9815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 01.08.24 перевод из фиолет (104) в зелен (104) график</t>
        </r>
      </text>
    </comment>
    <comment ref="B24" authorId="2" shapeId="0" xr:uid="{94ED1C63-9DDF-43E3-AC30-15A0719A7119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 Распопов Даниил Сергеевич +79638787811 </t>
        </r>
      </text>
    </comment>
    <comment ref="A27" authorId="1" shapeId="0" xr:uid="{34FBD6C1-52E9-4582-BA83-F75BFFE5E0C8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Пережогин Андрей Михайлович +79097264226</t>
        </r>
      </text>
    </comment>
    <comment ref="A30" authorId="0" shapeId="0" xr:uid="{0083588C-FC60-49A4-AD8C-BDD4E4D92022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Науменко Денис Александрович  8-982-438-78-71</t>
        </r>
      </text>
    </comment>
    <comment ref="B30" authorId="2" shapeId="0" xr:uid="{51D9DDAB-730F-4863-8AA9-99B1B0E5AEB3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с 01.01.2026г перевод из зел в фиол график</t>
        </r>
      </text>
    </comment>
    <comment ref="A33" authorId="0" shapeId="0" xr:uid="{897F363C-83B8-4A75-BA0D-D8B74F6D9CF6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Лазуков Дмитрий Викторович
8-912-495-69-19</t>
        </r>
      </text>
    </comment>
    <comment ref="B33" authorId="2" shapeId="0" xr:uid="{A3A6C073-13D5-436A-9D22-190320EADC93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С 01.06.25 перевод из зелен (33) в фиол (33) график с 01.08.25 перевод из фиол (64) в оранж (65) график</t>
        </r>
      </text>
    </comment>
    <comment ref="A36" authorId="0" shapeId="0" xr:uid="{8F7EA5B8-2514-4DED-862A-980E54C80FF5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Седельников Александр Анатольвич  89655588988</t>
        </r>
      </text>
    </comment>
    <comment ref="B36" authorId="0" shapeId="0" xr:uid="{7025EAC5-9946-4B8C-91E2-76D646A268A5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 01.02.25г перевод из зел (11) в син (12) гафик. Минус смена на след месяц</t>
        </r>
      </text>
    </comment>
    <comment ref="A46" authorId="1" shapeId="0" xr:uid="{41A450FD-DE88-478B-868B-C1A497B6B0AF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Косовских Антон Андреевич +79504690992</t>
        </r>
      </text>
    </comment>
    <comment ref="A49" authorId="0" shapeId="0" xr:uid="{EEC484C8-4833-4D02-AF24-FBD042C8B7AB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Стариков Даниил Андреевич 8-908-252-50-45</t>
        </r>
      </text>
    </comment>
    <comment ref="A52" authorId="1" shapeId="0" xr:uid="{2D24979F-3FD2-4ACF-8258-80576EA8E293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Истомин Владимир Александрович, 8-919-490-30-01</t>
        </r>
      </text>
    </comment>
    <comment ref="B52" authorId="0" shapeId="0" xr:uid="{6B6D5771-E17C-4893-A26F-8B8AD8EDF4B6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перевод в фиолетовый график с 01.03.22г Количество смен совпадает (27).
С 01.03.23г перевод из фиолет (27) в синий график</t>
        </r>
      </text>
    </comment>
    <comment ref="A55" authorId="3" shapeId="0" xr:uid="{5CC0ABB7-9508-4E81-AC5A-113D3C49AA5F}">
      <text>
        <r>
          <rPr>
            <b/>
            <sz val="9"/>
            <color indexed="81"/>
            <rFont val="Tahoma"/>
            <family val="2"/>
            <charset val="204"/>
          </rPr>
          <t>Тиунов Александр:</t>
        </r>
        <r>
          <rPr>
            <sz val="9"/>
            <color indexed="81"/>
            <rFont val="Tahoma"/>
            <family val="2"/>
            <charset val="204"/>
          </rPr>
          <t xml:space="preserve">
тел. 89194418293.
Рудаков Владимир Владимирович</t>
        </r>
      </text>
    </comment>
    <comment ref="A59" authorId="0" shapeId="0" xr:uid="{8972C7EC-E9A7-42A5-B5A8-AC38B461BE62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Епишкин Роман Генадьевич, 8-912-887-96-22</t>
        </r>
      </text>
    </comment>
    <comment ref="B59" authorId="0" shapeId="0" xr:uid="{A3764EE9-7C7F-41EA-86B8-85D311DD0F60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 01.02.24 ПЕРЕВОД ИЗ ОРАНЖ (13) В ФИОЛЕТ(12) ГРАФИК. +1 СМ с 01.01.2026 перевод из фиол в синий график </t>
        </r>
      </text>
    </comment>
    <comment ref="K59" authorId="2" shapeId="0" xr:uid="{961B8E8A-F92F-498C-BD80-7DCD67A2D458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 60-1
</t>
        </r>
      </text>
    </comment>
    <comment ref="S59" authorId="2" shapeId="0" xr:uid="{003844AC-F391-499F-B767-30F00C55E49A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 60-1
</t>
        </r>
      </text>
    </comment>
    <comment ref="A62" authorId="0" shapeId="0" xr:uid="{E6733ECC-0BB5-43EC-A6AB-7671560E62A1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Лазуков Гавриил Викторович 8-952-338-29-72</t>
        </r>
      </text>
    </comment>
    <comment ref="A65" authorId="0" shapeId="0" xr:uid="{A5F1E6E1-0C78-4FB7-9769-712A71405E25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Стариков Даниил Андреевич 8-908-252-50-45</t>
        </r>
      </text>
    </comment>
    <comment ref="A68" authorId="0" shapeId="0" xr:uid="{EBCD0727-5125-4C83-8AF1-AEAB3BD01365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Васильев Валентин Романович 8-919-464-59-29</t>
        </r>
      </text>
    </comment>
    <comment ref="B68" authorId="2" shapeId="0" xr:uid="{96C5348A-2759-41DA-92BB-2041B622A006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с 01.01.2026г перевод из фиол в оранж график</t>
        </r>
      </text>
    </comment>
    <comment ref="A71" authorId="0" shapeId="0" xr:uid="{5CAFDBFC-0DEF-465A-86C1-64D6573E8BA5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Бондарев Дмитрий Владимирович 89223666026</t>
        </r>
      </text>
    </comment>
    <comment ref="B71" authorId="2" shapeId="0" xr:uid="{B15DF6F6-0C4E-4553-B612-E118EA4C7B43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с 01.01.2026г перевод из фиол в оранж график</t>
        </r>
      </text>
    </comment>
    <comment ref="A77" authorId="1" shapeId="0" xr:uid="{6EC7A0A7-9327-4499-B0FE-D1894749FC22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Маслов Михаил Александрович +79197179899 </t>
        </r>
      </text>
    </comment>
    <comment ref="A80" authorId="1" shapeId="0" xr:uid="{97E05767-2E47-439B-81B4-007D3A0A558C}">
      <text>
        <r>
          <rPr>
            <b/>
            <sz val="9"/>
            <color indexed="81"/>
            <rFont val="Tahoma"/>
            <family val="2"/>
            <charset val="204"/>
          </rPr>
          <t xml:space="preserve">Рябков Артем: </t>
        </r>
        <r>
          <rPr>
            <sz val="9"/>
            <color indexed="81"/>
            <rFont val="Tahoma"/>
            <family val="2"/>
            <charset val="204"/>
          </rPr>
          <t xml:space="preserve">
89223702074
Зайцев Александр Николаевич</t>
        </r>
      </text>
    </comment>
    <comment ref="A83" authorId="1" shapeId="0" xr:uid="{C18E3D3A-2BC0-4056-A065-D4CF260D533F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Усталов Иван Александрович +79630194035</t>
        </r>
      </text>
    </comment>
    <comment ref="A86" authorId="1" shapeId="0" xr:uid="{BB6A344F-B0CA-4A8F-B3C2-67EF5C396160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Левин Денис Александрович +79120693480</t>
        </r>
      </text>
    </comment>
    <comment ref="A91" authorId="0" shapeId="0" xr:uid="{DD699FED-6ADC-4CA2-B0CB-260F8409867B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Чубаров Роман Андреевич, 8-912-494-22-87</t>
        </r>
      </text>
    </comment>
    <comment ref="A94" authorId="0" shapeId="0" xr:uid="{36AE500F-5F20-4F68-A767-503D8C24838D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Решетников Андрей Юрьевич 8-920-884-95-60</t>
        </r>
      </text>
    </comment>
    <comment ref="B94" authorId="0" shapeId="0" xr:uid="{3AAE5396-6780-4824-9D3A-B867BB8DF7EF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 01.07.23 перевод из зеленого (89) в синий (88) график</t>
        </r>
      </text>
    </comment>
    <comment ref="A97" authorId="0" shapeId="0" xr:uid="{942B262E-9BA7-4226-8D77-99E6611E3B11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Юганов Александр Павлович 8-922-337-08-06</t>
        </r>
      </text>
    </comment>
    <comment ref="A100" authorId="0" shapeId="0" xr:uid="{76EFD066-A14B-40FC-BA14-53DC1E8B5D73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Ощепков Игорь Олегович 8-992-222-02-62</t>
        </r>
      </text>
    </comment>
    <comment ref="B100" authorId="2" shapeId="0" xr:uid="{95A1C4B2-B694-460E-ACBC-629CD8E34650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с 01.01.2026г перевод из синего
 в оранж график</t>
        </r>
      </text>
    </comment>
    <comment ref="A103" authorId="0" shapeId="0" xr:uid="{E9238C2C-0EF5-42CF-B1C0-949AA26242B8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Коновалов Александр Юрьевич 8-905-860-73-60</t>
        </r>
      </text>
    </comment>
    <comment ref="A106" authorId="0" shapeId="0" xr:uid="{5CDBFD20-28A4-4F58-8340-0FD426F195EA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Кудымов Евгений Михайлович 8-952-650-82-55</t>
        </r>
      </text>
    </comment>
    <comment ref="S110" authorId="0" shapeId="0" xr:uid="{C0D5A869-2D40-4AFC-9882-070A8DEA30C0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есть вредность на линии</t>
        </r>
      </text>
    </comment>
    <comment ref="A111" authorId="0" shapeId="0" xr:uid="{61A0E63B-3EF8-48D1-8156-B18A7592145D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Ершов Вячеслав Игоревич 8-919-450-76-23</t>
        </r>
      </text>
    </comment>
    <comment ref="B111" authorId="0" shapeId="0" xr:uid="{2445EB99-3503-45FA-AB27-BD6DF4D39207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 01.02.23г перевод из синего (13) в зеленый (14) график.
С 01.06.24г перевод из зеленого (74) в фиолет (72) график</t>
        </r>
      </text>
    </comment>
    <comment ref="A114" authorId="1" shapeId="0" xr:uid="{E333DFE9-28D9-4298-BDE7-D75EE8D71D8D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Власов Андрей Сергеевич +79526485683</t>
        </r>
      </text>
    </comment>
    <comment ref="B114" authorId="0" shapeId="0" xr:uid="{2A8729AB-68EA-4D7B-BBB5-616BEB684DD6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 01.01.23 ПЕРЕВОД В СИНИЙ ГРАФИК</t>
        </r>
      </text>
    </comment>
    <comment ref="A117" authorId="1" shapeId="0" xr:uid="{FCECD813-142E-407C-9FAD-96687B2970DB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Ковязин Кирилл Анатольевич +79120681836</t>
        </r>
      </text>
    </comment>
    <comment ref="B117" authorId="0" shapeId="0" xr:uid="{FB7879CF-5085-42ED-AF6D-E6D5EB835426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 01.05.22 перевод из фиолет (57) в зеленый гр (59)</t>
        </r>
      </text>
    </comment>
    <comment ref="A120" authorId="1" shapeId="0" xr:uid="{CA769B0F-E463-4DCC-9C78-0EFF4BC5A4E8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Игитов Андрей Юрьевич +79523175121</t>
        </r>
      </text>
    </comment>
    <comment ref="A125" authorId="0" shapeId="0" xr:uid="{D87994F2-6631-4BE6-8A2A-096DB5A8E35D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Кабанов Евгений Сергеевич
8-951-959-23-79</t>
        </r>
      </text>
    </comment>
    <comment ref="B125" authorId="0" shapeId="0" xr:uid="{8398A41C-E9CF-4700-8D35-B70A7EE39457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 01.03.23г перевод из оранж (27) в зеленый (27) график</t>
        </r>
      </text>
    </comment>
    <comment ref="A128" authorId="0" shapeId="0" xr:uid="{30E45D9D-AFCE-42A8-AFDC-1E46D997E9A8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Литвинов Илья Алексеевич, 8-912-580-10-31</t>
        </r>
      </text>
    </comment>
    <comment ref="S128" authorId="2" shapeId="0" xr:uid="{1F2B111A-1C17-4F75-9B65-AA429B0E8B99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 60-5</t>
        </r>
      </text>
    </comment>
    <comment ref="T128" authorId="2" shapeId="0" xr:uid="{0DB8F37F-C9A5-43BF-994A-3EDB78E9B71C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 60-5</t>
        </r>
      </text>
    </comment>
    <comment ref="AB128" authorId="2" shapeId="0" xr:uid="{EB33806A-50AF-4FBB-B64F-422E88B053C6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 60-5</t>
        </r>
      </text>
    </comment>
    <comment ref="A131" authorId="0" shapeId="0" xr:uid="{223CCB41-6CF9-430F-97F6-7F1B64D9CA7A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Сизьмин Василий Владимирович 8-909-103-30-49</t>
        </r>
      </text>
    </comment>
    <comment ref="A134" authorId="0" shapeId="0" xr:uid="{C8EE47CC-3A9B-4CD1-8503-3E1F6D39509B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Бажгин Виталий Валерьевич 8-992-224-99-21</t>
        </r>
      </text>
    </comment>
    <comment ref="B134" authorId="2" shapeId="0" xr:uid="{F55BC63F-E3F0-4B8C-A34F-1643272EF520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с 01.01.2026г перевод из зел в оранж график</t>
        </r>
      </text>
    </comment>
    <comment ref="A137" authorId="0" shapeId="0" xr:uid="{DA51DAC0-9E87-4884-89B5-ABDE1AE0E023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Дульцев Константин Иванович 8-919-702-76-77</t>
        </r>
      </text>
    </comment>
    <comment ref="B137" authorId="2" shapeId="0" xr:uid="{3D9E093B-673D-4C5F-91B5-7A6C8363296C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с 01.01.2026г переводиз синего в фиол график</t>
        </r>
      </text>
    </comment>
    <comment ref="S141" authorId="0" shapeId="0" xr:uid="{24F98BE9-0357-4982-A870-2EA7573722BD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есть вредность на линии</t>
        </r>
      </text>
    </comment>
    <comment ref="A142" authorId="1" shapeId="0" xr:uid="{69FDE710-E3F2-4512-8D10-944782129830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Чугункин Владимир Дмитриевич. 
тел. 8-919-494-66-81
</t>
        </r>
      </text>
    </comment>
    <comment ref="A145" authorId="1" shapeId="0" xr:uid="{4D6D9E9D-FD40-4AB9-955A-54438AF72211}">
      <text>
        <r>
          <rPr>
            <b/>
            <sz val="9"/>
            <rFont val="Tahoma"/>
            <family val="2"/>
            <charset val="204"/>
          </rPr>
          <t>Рябков Артем:</t>
        </r>
        <r>
          <rPr>
            <sz val="9"/>
            <rFont val="Tahoma"/>
            <family val="2"/>
            <charset val="204"/>
          </rPr>
          <t xml:space="preserve">
Кузвесов Виталий Сергеевич, тел: 89519438977</t>
        </r>
      </text>
    </comment>
    <comment ref="B145" authorId="0" shapeId="0" xr:uid="{2235EAA7-6FCB-4077-9FA1-F6D08813E59A}">
      <text>
        <r>
          <rPr>
            <b/>
            <sz val="9"/>
            <rFont val="Tahoma"/>
            <family val="2"/>
            <charset val="204"/>
          </rPr>
          <t>Возмищева Ирина:</t>
        </r>
        <r>
          <rPr>
            <sz val="9"/>
            <rFont val="Tahoma"/>
            <family val="2"/>
            <charset val="204"/>
          </rPr>
          <t xml:space="preserve">
ПРЕВОД С 01.10.23 ИЗ СИНЕГО (135) В ФИОЛЕТ (136) ГРАФИК. Минус смена.
С01.01.25 ПЕРЕВОД ИЗ ФИОЛЕТ В ЗЕЛЕН ГРАФИК</t>
        </r>
      </text>
    </comment>
    <comment ref="A148" authorId="1" shapeId="0" xr:uid="{764B8C9C-FA93-4049-A88B-D618DAD5B842}">
      <text>
        <r>
          <rPr>
            <b/>
            <sz val="9"/>
            <rFont val="Tahoma"/>
            <family val="2"/>
            <charset val="204"/>
          </rPr>
          <t>Рябков Артем:</t>
        </r>
        <r>
          <rPr>
            <sz val="9"/>
            <rFont val="Tahoma"/>
            <family val="2"/>
            <charset val="204"/>
          </rPr>
          <t xml:space="preserve">
Харин Сергей Иванович +79082719808</t>
        </r>
      </text>
    </comment>
    <comment ref="B148" authorId="0" shapeId="0" xr:uid="{D7EFE96A-5320-45B9-86DA-F45B8C7DFB02}">
      <text>
        <r>
          <rPr>
            <b/>
            <sz val="9"/>
            <rFont val="Tahoma"/>
            <family val="2"/>
            <charset val="204"/>
          </rPr>
          <t>Возмищева Ирина:</t>
        </r>
        <r>
          <rPr>
            <sz val="9"/>
            <rFont val="Tahoma"/>
            <family val="2"/>
            <charset val="204"/>
          </rPr>
          <t xml:space="preserve">
С 01.01.23 ПЕРЕВОД ИЗ ЗЕЛ В ОРАНЖ ГРАФИК.
С 01.01.24Г ПЕРЕВОД ИЗ ОРАНЖ В ЗЕЛЕН</t>
        </r>
      </text>
    </comment>
    <comment ref="A151" authorId="1" shapeId="0" xr:uid="{5D5CE3D0-C5CF-42AD-AE4B-7BD7763E39A6}">
      <text>
        <r>
          <rPr>
            <b/>
            <sz val="9"/>
            <rFont val="Tahoma"/>
            <family val="2"/>
            <charset val="204"/>
          </rPr>
          <t>Рябков Артем:</t>
        </r>
        <r>
          <rPr>
            <sz val="9"/>
            <rFont val="Tahoma"/>
            <family val="2"/>
            <charset val="204"/>
          </rPr>
          <t xml:space="preserve">
Часниченко Никита Владимирович, тел.: 89922008159</t>
        </r>
      </text>
    </comment>
    <comment ref="B151" authorId="0" shapeId="0" xr:uid="{47C50A81-9877-4CC5-B4DF-3D4D55D600B0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ПЕРЕВОД ИЗ ФИОЛЕТ В ОРАНЖ ГРАФИК С 01.01.24Г</t>
        </r>
      </text>
    </comment>
    <comment ref="A154" authorId="1" shapeId="0" xr:uid="{9B788793-6267-48C3-AFE2-5910C3753403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Маслов Михаил Александрович +79197179899 </t>
        </r>
      </text>
    </comment>
    <comment ref="A157" authorId="1" shapeId="0" xr:uid="{52086210-6DA9-402F-8EBD-0AB5C4EA5EF0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Смирнов Александр Владимирович +79504569091</t>
        </r>
      </text>
    </comment>
    <comment ref="A160" authorId="1" shapeId="0" xr:uid="{13B2C700-7CDA-4343-B1AE-F4DF2F2CB707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Сизимов Александр Сергеевич +79194840646</t>
        </r>
      </text>
    </comment>
    <comment ref="B160" authorId="0" shapeId="0" xr:uid="{DF4834B8-75A1-4369-B094-5CCC6957C6EC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 01.04.23 перевод из синего (44) в фиолет(44) график</t>
        </r>
      </text>
    </comment>
    <comment ref="A163" authorId="0" shapeId="0" xr:uid="{B4D1E796-36BF-46EC-B097-5D6C4E20E668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Корнеев Даниил Владимирович перевод из СПП с ноября 24г    +79194909395</t>
        </r>
      </text>
    </comment>
    <comment ref="A168" authorId="1" shapeId="0" xr:uid="{E9143E20-5438-4D80-99F2-C2D5EC52107A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Чегодаев Юрий Борисович 89588826206</t>
        </r>
      </text>
    </comment>
    <comment ref="A171" authorId="3" shapeId="0" xr:uid="{A8AE54D4-7B01-4E1F-8F9C-6EC06F39634D}">
      <text>
        <r>
          <rPr>
            <b/>
            <sz val="9"/>
            <color indexed="81"/>
            <rFont val="Tahoma"/>
            <family val="2"/>
            <charset val="204"/>
          </rPr>
          <t>Тиунов Александр:</t>
        </r>
        <r>
          <rPr>
            <sz val="9"/>
            <color indexed="81"/>
            <rFont val="Tahoma"/>
            <family val="2"/>
            <charset val="204"/>
          </rPr>
          <t xml:space="preserve">
 Старков Максим Романович тел.89197166120</t>
        </r>
      </text>
    </comment>
    <comment ref="B171" authorId="0" shapeId="0" xr:uid="{E98EAE0D-2248-4CF9-8912-38CBFB8854CB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 01.01.25 ПЕРЕВОД ИЗ СИНЕГО В ФИОЛЕТ ГРАФИК</t>
        </r>
      </text>
    </comment>
    <comment ref="T171" authorId="2" shapeId="0" xr:uid="{8C94AFC4-F4DA-4E53-A60A-7491C4950ED6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стаж пом 60-3</t>
        </r>
      </text>
    </comment>
    <comment ref="U171" authorId="2" shapeId="0" xr:uid="{BF7EAC79-83A9-474D-8CBD-22841F0F0D54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стаж пом 60-3</t>
        </r>
      </text>
    </comment>
    <comment ref="AA171" authorId="2" shapeId="0" xr:uid="{EC8D1FE5-A801-4339-8549-AA4E2E5B2B08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стаж пом 60-3</t>
        </r>
      </text>
    </comment>
    <comment ref="AB171" authorId="2" shapeId="0" xr:uid="{06AF680F-97E4-4175-B648-9D9F61CB872E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стаж пом 60-3</t>
        </r>
      </text>
    </comment>
    <comment ref="AC171" authorId="2" shapeId="0" xr:uid="{69F710CC-6673-4ED4-AD77-541DF252B422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стаж пом 60-3</t>
        </r>
      </text>
    </comment>
    <comment ref="A174" authorId="0" shapeId="0" xr:uid="{A5CA132F-0CA4-41AB-87F1-7299AEF586E4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Коньшин Артём Викторович 8-952-656-46-00</t>
        </r>
      </text>
    </comment>
    <comment ref="B174" authorId="2" shapeId="0" xr:uid="{25C28CD0-A0F1-448A-9406-A626C0830829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с 01.01.2026г перевод из зел в оранж график</t>
        </r>
      </text>
    </comment>
    <comment ref="A177" authorId="0" shapeId="0" xr:uid="{533B3302-9B9A-4DB3-B6DC-D2837F90FBE2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Сапегин Александр Леонидович 8-922-644-72-99</t>
        </r>
      </text>
    </comment>
    <comment ref="A180" authorId="0" shapeId="0" xr:uid="{8A36444D-9472-4531-8C74-AA5683587312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Коробейников Арсений Дмитриевич 8-929-234-20-10</t>
        </r>
      </text>
    </comment>
    <comment ref="A186" authorId="1" shapeId="0" xr:uid="{B74DE78C-720F-4A26-8DE0-03056803EFB3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Пережогин Андрей Михайлович +79097264226</t>
        </r>
      </text>
    </comment>
    <comment ref="A189" authorId="1" shapeId="0" xr:uid="{0A03A516-98F9-482E-A7A7-C44D8C19D678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Деревянных Андрей Павлович +79223332155</t>
        </r>
      </text>
    </comment>
    <comment ref="B189" authorId="0" shapeId="0" xr:uid="{80D388FC-14C1-4B3F-9A98-8389D0571A8B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 01.01.24 ПЕРЕВОД ИЗ ФИОЛЕТ В СИНИЙ ГРАФИК</t>
        </r>
      </text>
    </comment>
    <comment ref="D189" authorId="2" shapeId="0" xr:uid="{961452A6-7FA8-4307-BC3C-92C8FACE9ED2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Помощники ОЕL - 60-2</t>
        </r>
      </text>
    </comment>
    <comment ref="E189" authorId="2" shapeId="0" xr:uid="{676E47DC-8AE2-4143-A95B-E19D5BF6171C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Помощники ОЕL - 60-2</t>
        </r>
      </text>
    </comment>
    <comment ref="V189" authorId="2" shapeId="0" xr:uid="{4A3AD9DF-C3A0-456E-B622-C88B7DA95773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 60-1</t>
        </r>
      </text>
    </comment>
    <comment ref="AA189" authorId="2" shapeId="0" xr:uid="{3970659D-F9CE-4561-B832-7493237B6BAA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 60-1</t>
        </r>
      </text>
    </comment>
    <comment ref="AB189" authorId="2" shapeId="0" xr:uid="{F59CC974-D714-443A-8358-C46F6417E89D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 60-1</t>
        </r>
      </text>
    </comment>
    <comment ref="AD189" authorId="2" shapeId="0" xr:uid="{6B867730-78ED-41A3-8F7A-0138AFDFD47B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 60-1</t>
        </r>
      </text>
    </comment>
    <comment ref="A192" authorId="1" shapeId="0" xr:uid="{1916A500-2189-446B-9AD3-5ED0ED461934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Рубцов Владимир Вячеславович. 
Тел.: 89504730181</t>
        </r>
      </text>
    </comment>
    <comment ref="A195" authorId="0" shapeId="0" xr:uid="{C8C4DD86-F8A7-476E-9F34-7FFFA50A79B2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Мясников Илья Михайлович, 8-952-660-12-02</t>
        </r>
      </text>
    </comment>
    <comment ref="R195" authorId="2" shapeId="0" xr:uid="{C9BB8061-E598-4BEA-B5C4-662AADAE89F8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 60-1</t>
        </r>
      </text>
    </comment>
    <comment ref="T195" authorId="2" shapeId="0" xr:uid="{5DC267BC-CF54-4D93-AB92-415BA2F2C7C8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 60-1</t>
        </r>
      </text>
    </comment>
    <comment ref="U195" authorId="2" shapeId="0" xr:uid="{46DD6215-3D2C-4470-85E5-6479F4F1663B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 60-1</t>
        </r>
      </text>
    </comment>
    <comment ref="AC195" authorId="2" shapeId="0" xr:uid="{CFD261C3-C94A-4987-BEF2-069F04E40613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 60-1</t>
        </r>
      </text>
    </comment>
    <comment ref="A198" authorId="1" shapeId="0" xr:uid="{62F9444F-5D74-4807-BAC1-8ED0AB707503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Имя - Артем, тел.: 89223395908</t>
        </r>
      </text>
    </comment>
    <comment ref="Q198" authorId="2" shapeId="0" xr:uid="{417A45B7-C917-4395-8ED5-D32460F1C012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 60-1</t>
        </r>
      </text>
    </comment>
    <comment ref="Z198" authorId="2" shapeId="0" xr:uid="{AE2D8B8E-928E-47E0-8EEE-FED3D5BF6FEA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пом 60-1</t>
        </r>
      </text>
    </comment>
    <comment ref="A205" authorId="2" shapeId="0" xr:uid="{1A092129-BCEE-463E-BEAC-C672922A201B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Варанкин Кирилл Иванович +79965753581</t>
        </r>
      </text>
    </comment>
    <comment ref="A208" authorId="1" shapeId="0" xr:uid="{98D3B5C3-035D-4D79-B445-B7B3BA7C2E69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Шмидт Иван Владимирович +79082686329 </t>
        </r>
      </text>
    </comment>
    <comment ref="A211" authorId="1" shapeId="0" xr:uid="{74283613-BCE4-456D-BE28-D0B8BE9370F2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Марков Георгий Васильевич +79082627670</t>
        </r>
      </text>
    </comment>
    <comment ref="T211" authorId="2" shapeId="0" xr:uid="{C22417D3-B586-4903-A7ED-DFEC91FD67FF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Трощ и перем. стаж</t>
        </r>
      </text>
    </comment>
    <comment ref="U211" authorId="2" shapeId="0" xr:uid="{15FD1481-AE47-4304-8AD9-32608D71DCE4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Трощ и перем. стаж</t>
        </r>
      </text>
    </comment>
    <comment ref="V211" authorId="2" shapeId="0" xr:uid="{B7646B35-657F-4531-B365-11168BE3E35F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Трощ и перем. стаж</t>
        </r>
      </text>
    </comment>
    <comment ref="W211" authorId="2" shapeId="0" xr:uid="{401DBC26-AE62-4D35-8723-C11842BFE72B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Трощ и перем. стаж</t>
        </r>
      </text>
    </comment>
    <comment ref="AB211" authorId="2" shapeId="0" xr:uid="{1B2DBDFB-622A-42AB-A0C8-C999A8C2FE4C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Трощ и перем. стаж</t>
        </r>
      </text>
    </comment>
    <comment ref="AC211" authorId="2" shapeId="0" xr:uid="{0F43E428-7846-41D1-82D7-05492155180F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Трощ и перем. стаж</t>
        </r>
      </text>
    </comment>
    <comment ref="AD211" authorId="2" shapeId="0" xr:uid="{4384A1F2-F37F-4D81-85F3-075D9928FBE9}">
      <text>
        <r>
          <rPr>
            <b/>
            <sz val="9"/>
            <color indexed="81"/>
            <rFont val="Tahoma"/>
            <family val="2"/>
            <charset val="204"/>
          </rPr>
          <t>Коростелева Елена:</t>
        </r>
        <r>
          <rPr>
            <sz val="9"/>
            <color indexed="81"/>
            <rFont val="Tahoma"/>
            <family val="2"/>
            <charset val="204"/>
          </rPr>
          <t xml:space="preserve">
Трощ и перем. стаж</t>
        </r>
      </text>
    </comment>
    <comment ref="A214" authorId="1" shapeId="0" xr:uid="{29052C97-1653-4A3E-BECA-5B329B2798B7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Константинов Иван Сергеевич, 89824846876</t>
        </r>
      </text>
    </comment>
    <comment ref="B214" authorId="0" shapeId="0" xr:uid="{29312831-A5CC-4A07-A076-4E43C687E107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 01.01.24Г ПЕРВОД ИЗ ЗЕЛЕН В ОРАНЖ ГРАФИК/
C 01/03/25 перевод из оранж (26) в зел график (26)</t>
        </r>
      </text>
    </comment>
    <comment ref="Y221" authorId="0" shapeId="0" xr:uid="{475B5911-C3AC-4F14-9F8C-4B9DAED8490A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есть вредность на линии</t>
        </r>
      </text>
    </comment>
    <comment ref="V223" authorId="0" shapeId="0" xr:uid="{78B3F9C6-0EDB-488F-9C52-80E5A830316F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есть вредность на линии</t>
        </r>
      </text>
    </comment>
    <comment ref="A224" authorId="1" shapeId="0" xr:uid="{A98D67EC-819F-4825-9F46-5F9D1FDE236B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Заводов Михаил Александрович +79082700234</t>
        </r>
      </text>
    </comment>
    <comment ref="B224" authorId="0" shapeId="0" xr:uid="{8CA28C9E-AB7F-4EB2-879B-9EF5B7881BC1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 01.01.23 ПЕРЕВОД ИЗ СИНЕГО В ФИОЛЕТ ГРАФИК.
С 01.04.23 перевод из фиолет (44) в синий (44) график</t>
        </r>
      </text>
    </comment>
    <comment ref="A227" authorId="1" shapeId="0" xr:uid="{5F96039F-7AF7-41BA-AB04-309F2FEA0858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Горелов Сергей Вячеславович  +79504697914</t>
        </r>
      </text>
    </comment>
    <comment ref="A230" authorId="1" shapeId="0" xr:uid="{C2C891CF-9B66-4CA5-9741-607D23C44B49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Бикбулатов Максим Дамирович +79504517786</t>
        </r>
      </text>
    </comment>
    <comment ref="A233" authorId="1" shapeId="0" xr:uid="{27B3A3DC-725E-4DBA-95DF-9D5CE201F141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Теленков Александр Иванович +79655774705</t>
        </r>
      </text>
    </comment>
    <comment ref="A242" authorId="1" shapeId="0" xr:uid="{D7F6D266-1A31-404A-A827-9C15F5A29E3D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Шилов Никита Владимирович. тел. 8-922-346-82-59</t>
        </r>
      </text>
    </comment>
    <comment ref="F242" authorId="2" shapeId="0" xr:uid="{F627905D-DE58-41B5-AFE0-26EF607E0799}">
      <text>
        <r>
          <rPr>
            <b/>
            <sz val="9"/>
            <color indexed="81"/>
            <rFont val="Tahoma"/>
            <charset val="1"/>
          </rPr>
          <t>Коростелева Елена:</t>
        </r>
        <r>
          <rPr>
            <sz val="9"/>
            <color indexed="81"/>
            <rFont val="Tahoma"/>
            <charset val="1"/>
          </rPr>
          <t xml:space="preserve">
1Д</t>
        </r>
      </text>
    </comment>
    <comment ref="G242" authorId="2" shapeId="0" xr:uid="{BA0B66A7-1EEB-4174-92FE-3B9B03BD612C}">
      <text>
        <r>
          <rPr>
            <b/>
            <sz val="9"/>
            <color indexed="81"/>
            <rFont val="Tahoma"/>
            <charset val="1"/>
          </rPr>
          <t>Коростелева Елена:</t>
        </r>
        <r>
          <rPr>
            <sz val="9"/>
            <color indexed="81"/>
            <rFont val="Tahoma"/>
            <charset val="1"/>
          </rPr>
          <t xml:space="preserve">
1Д</t>
        </r>
      </text>
    </comment>
    <comment ref="H242" authorId="2" shapeId="0" xr:uid="{194AB539-CF23-46B2-AB2F-BBA47BF97046}">
      <text>
        <r>
          <rPr>
            <b/>
            <sz val="9"/>
            <color indexed="81"/>
            <rFont val="Tahoma"/>
            <charset val="1"/>
          </rPr>
          <t>Коростелева Елена:</t>
        </r>
        <r>
          <rPr>
            <sz val="9"/>
            <color indexed="81"/>
            <rFont val="Tahoma"/>
            <charset val="1"/>
          </rPr>
          <t xml:space="preserve">
1Д</t>
        </r>
      </text>
    </comment>
    <comment ref="I242" authorId="2" shapeId="0" xr:uid="{E51B65D4-477A-4A60-8570-58A20E39ED33}">
      <text>
        <r>
          <rPr>
            <b/>
            <sz val="9"/>
            <color indexed="81"/>
            <rFont val="Tahoma"/>
            <charset val="1"/>
          </rPr>
          <t>Коростелева Елена:</t>
        </r>
        <r>
          <rPr>
            <sz val="9"/>
            <color indexed="81"/>
            <rFont val="Tahoma"/>
            <charset val="1"/>
          </rPr>
          <t xml:space="preserve">
1Д</t>
        </r>
      </text>
    </comment>
    <comment ref="A245" authorId="1" shapeId="0" xr:uid="{B5BF36FA-456D-4D80-8586-9B7FE2DD2DC8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Зубов Алексей Васильевич</t>
        </r>
      </text>
    </comment>
    <comment ref="B245" authorId="0" shapeId="0" xr:uid="{F40E6B61-34FA-41D7-86AD-D968F4381957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 01.01.23 ПЕРЕВОД В ЗЕЛЕНЫЙ ГРАФИК</t>
        </r>
      </text>
    </comment>
    <comment ref="G245" authorId="2" shapeId="0" xr:uid="{1AFFF47C-E11F-46FE-B3A6-74676DBF5AB2}">
      <text>
        <r>
          <rPr>
            <b/>
            <sz val="9"/>
            <color indexed="81"/>
            <rFont val="Tahoma"/>
            <charset val="1"/>
          </rPr>
          <t>Коростелева Елена:</t>
        </r>
        <r>
          <rPr>
            <sz val="9"/>
            <color indexed="81"/>
            <rFont val="Tahoma"/>
            <charset val="1"/>
          </rPr>
          <t xml:space="preserve">
В 4Д</t>
        </r>
      </text>
    </comment>
    <comment ref="A248" authorId="1" shapeId="0" xr:uid="{04E48DDE-5926-4B6E-AB12-8C021C60565F}">
      <text>
        <r>
          <rPr>
            <b/>
            <sz val="9"/>
            <color indexed="81"/>
            <rFont val="Tahoma"/>
            <family val="2"/>
            <charset val="204"/>
          </rPr>
          <t>Рябков Артем:</t>
        </r>
        <r>
          <rPr>
            <sz val="9"/>
            <color indexed="81"/>
            <rFont val="Tahoma"/>
            <family val="2"/>
            <charset val="204"/>
          </rPr>
          <t xml:space="preserve">
Старков Роман Александрович</t>
        </r>
      </text>
    </comment>
    <comment ref="A251" authorId="0" shapeId="0" xr:uid="{F919E44A-230A-49A1-860E-39CFC532590D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Машьянов Владимир Анатольевич  8-902-791-03-42</t>
        </r>
      </text>
    </comment>
    <comment ref="B251" authorId="0" shapeId="0" xr:uid="{897A557C-B1A8-46C5-A80C-DD35021CD2BF}">
      <text>
        <r>
          <rPr>
            <b/>
            <sz val="9"/>
            <color indexed="81"/>
            <rFont val="Tahoma"/>
            <family val="2"/>
            <charset val="204"/>
          </rPr>
          <t>Возмищева Ирина:</t>
        </r>
        <r>
          <rPr>
            <sz val="9"/>
            <color indexed="81"/>
            <rFont val="Tahoma"/>
            <family val="2"/>
            <charset val="204"/>
          </rPr>
          <t xml:space="preserve">
с 01.06.24г перевод из синего (73) в фиолет(72) график с 01.01.2026г перевод из фиол в синий график</t>
        </r>
      </text>
    </comment>
    <comment ref="N251" authorId="2" shapeId="0" xr:uid="{B141B7BD-8BF6-4785-963D-DBFE0874EC79}">
      <text>
        <r>
          <rPr>
            <b/>
            <sz val="9"/>
            <color indexed="81"/>
            <rFont val="Tahoma"/>
            <charset val="1"/>
          </rPr>
          <t>Коростелева Елена:</t>
        </r>
        <r>
          <rPr>
            <sz val="9"/>
            <color indexed="81"/>
            <rFont val="Tahoma"/>
            <charset val="1"/>
          </rPr>
          <t xml:space="preserve">
1Д</t>
        </r>
      </text>
    </comment>
    <comment ref="P251" authorId="2" shapeId="0" xr:uid="{3D4F80D7-A143-424A-83D2-7BC0CC4122DE}">
      <text>
        <r>
          <rPr>
            <b/>
            <sz val="9"/>
            <color indexed="81"/>
            <rFont val="Tahoma"/>
            <charset val="1"/>
          </rPr>
          <t>Коростелева Елена:</t>
        </r>
        <r>
          <rPr>
            <sz val="9"/>
            <color indexed="81"/>
            <rFont val="Tahoma"/>
            <charset val="1"/>
          </rPr>
          <t xml:space="preserve">
1Д</t>
        </r>
      </text>
    </comment>
  </commentList>
</comments>
</file>

<file path=xl/sharedStrings.xml><?xml version="1.0" encoding="utf-8"?>
<sst xmlns="http://schemas.openxmlformats.org/spreadsheetml/2006/main" count="1285" uniqueCount="114">
  <si>
    <t>Отработано дней</t>
  </si>
  <si>
    <t>ОЕL - 60-1</t>
  </si>
  <si>
    <t>*</t>
  </si>
  <si>
    <t>Зайцев А.Н.</t>
  </si>
  <si>
    <t>60-3</t>
  </si>
  <si>
    <t>Завьялов В.Ю.</t>
  </si>
  <si>
    <t>Д</t>
  </si>
  <si>
    <t>Н</t>
  </si>
  <si>
    <t>Таланкин В.С.</t>
  </si>
  <si>
    <t>Хлебалов В.Н.</t>
  </si>
  <si>
    <t>Терехин Ю.А.</t>
  </si>
  <si>
    <t>НЕТ ОПЕРАТОРА</t>
  </si>
  <si>
    <t>Помощники ОЕL - 60-1</t>
  </si>
  <si>
    <t>Пупышев А.С.</t>
  </si>
  <si>
    <t>ПН</t>
  </si>
  <si>
    <t>ОТ</t>
  </si>
  <si>
    <t>Распопов Д.С.</t>
  </si>
  <si>
    <t>наст. Пупышев А.</t>
  </si>
  <si>
    <t>Пережогин А.М.</t>
  </si>
  <si>
    <t>Науменко Д.А.</t>
  </si>
  <si>
    <t>Лазуков Д.В.</t>
  </si>
  <si>
    <t>Седельников А.А.</t>
  </si>
  <si>
    <t>ПД</t>
  </si>
  <si>
    <t>Епишкин Р.Г.</t>
  </si>
  <si>
    <t>д.</t>
  </si>
  <si>
    <t xml:space="preserve">Хардин А.С. </t>
  </si>
  <si>
    <t>Деревянных А.П.</t>
  </si>
  <si>
    <t>н.</t>
  </si>
  <si>
    <t>Мясников И.М.</t>
  </si>
  <si>
    <t>НЕТ ПОМОЩНИКА</t>
  </si>
  <si>
    <t>ОЕL - 60-2</t>
  </si>
  <si>
    <t>Косовских А.А.</t>
  </si>
  <si>
    <t>Стариков Д.А.</t>
  </si>
  <si>
    <t>Истомин В.А.</t>
  </si>
  <si>
    <t>Рудаков В.В.</t>
  </si>
  <si>
    <t>Помощники ОЕL - 60-2</t>
  </si>
  <si>
    <t>Лазуков Г.В.</t>
  </si>
  <si>
    <t>60-2</t>
  </si>
  <si>
    <t>Васильев В.Р.</t>
  </si>
  <si>
    <t>Бондарев Д.В.</t>
  </si>
  <si>
    <t>ОЕL - 60-3</t>
  </si>
  <si>
    <t>Маслов М.А.</t>
  </si>
  <si>
    <t>60-5</t>
  </si>
  <si>
    <t>Усталов И.А.</t>
  </si>
  <si>
    <t>Левин Д.А.</t>
  </si>
  <si>
    <t>Помощники ОЕL - 60-3</t>
  </si>
  <si>
    <t>Чубаров Р.А.</t>
  </si>
  <si>
    <t>Решетников А.Ю.</t>
  </si>
  <si>
    <t>Юганов А.П.</t>
  </si>
  <si>
    <t>наст. Решетников А.</t>
  </si>
  <si>
    <t>Ощепков И.О.</t>
  </si>
  <si>
    <t>Коновалов А.Ю.</t>
  </si>
  <si>
    <t>Кудымов Е.М.</t>
  </si>
  <si>
    <t>наст. Коновалов А.</t>
  </si>
  <si>
    <t>ОЕL - 60-4</t>
  </si>
  <si>
    <t>Ершов В.И.</t>
  </si>
  <si>
    <t>Власов А.С.</t>
  </si>
  <si>
    <t>Ковязин К.А.</t>
  </si>
  <si>
    <t>Игитов А.Ю.</t>
  </si>
  <si>
    <t>Помощники ОЕL - 60-4</t>
  </si>
  <si>
    <t>Кабанов Е.С.</t>
  </si>
  <si>
    <t>Литвинов И.А.</t>
  </si>
  <si>
    <t>Сизьмин В.В.</t>
  </si>
  <si>
    <t>наст. Литвинов И.</t>
  </si>
  <si>
    <t>Бажгин В.В.</t>
  </si>
  <si>
    <t>Дульцев К.И.</t>
  </si>
  <si>
    <t>ОЕL - 60-5</t>
  </si>
  <si>
    <t xml:space="preserve">Чугункин В.Д. </t>
  </si>
  <si>
    <t>Кузвесов В.С.</t>
  </si>
  <si>
    <t>наст. Сизимов А.</t>
  </si>
  <si>
    <t xml:space="preserve">НЕ СНИМАТЬ С ОБУЧЕНИЯ </t>
  </si>
  <si>
    <t>Харин С.И.</t>
  </si>
  <si>
    <t>наст. Чугункин В.</t>
  </si>
  <si>
    <t xml:space="preserve">Часниченко Н.В. </t>
  </si>
  <si>
    <t>наст. Смирнов А.В.</t>
  </si>
  <si>
    <t>Смирнов А.В.</t>
  </si>
  <si>
    <t>Сизимов А.С.</t>
  </si>
  <si>
    <t>Корнеев Д.В.</t>
  </si>
  <si>
    <t>Помощники ОЕL - 60-5</t>
  </si>
  <si>
    <t>Чегодаев Ю.Б.</t>
  </si>
  <si>
    <t>Старков М.Р.</t>
  </si>
  <si>
    <t>Коньшин А.В.</t>
  </si>
  <si>
    <t>Сапегин А.Л.</t>
  </si>
  <si>
    <t>Коробейников А.Д.</t>
  </si>
  <si>
    <t>наст. Сапегин А.</t>
  </si>
  <si>
    <t>Большой Аймак  (помощники)</t>
  </si>
  <si>
    <t>ПОМ 60-1</t>
  </si>
  <si>
    <t>Рубцов В.В.</t>
  </si>
  <si>
    <t>д н</t>
  </si>
  <si>
    <t>3Д</t>
  </si>
  <si>
    <t>план</t>
  </si>
  <si>
    <t>ЛИНИЯ СКРУТКИ OEL - 70</t>
  </si>
  <si>
    <t>Варанкин К.И.</t>
  </si>
  <si>
    <t>Шмидт И.В.</t>
  </si>
  <si>
    <t>Линия скрутки ОКГТ Caballe CPTE (12+18)x630</t>
  </si>
  <si>
    <t>Марков Г.В.</t>
  </si>
  <si>
    <t>Константинов И.С.</t>
  </si>
  <si>
    <t>Окулов А.А.</t>
  </si>
  <si>
    <t xml:space="preserve">Завьялов П.А. </t>
  </si>
  <si>
    <t>Филимонов А.Ю.</t>
  </si>
  <si>
    <t>ЛИНИЯ СКРУТКИ Shanghai Weiye WY-SZ6P-PN800 - 1</t>
  </si>
  <si>
    <t>ЛИНИЯ СКРУТКИ EP-6/800</t>
  </si>
  <si>
    <t>Заводов М.А.</t>
  </si>
  <si>
    <t>Горелов С.В.</t>
  </si>
  <si>
    <t>Бикбулатов М.Д.</t>
  </si>
  <si>
    <t>Теленков А.И.</t>
  </si>
  <si>
    <t>Сединин А.С.</t>
  </si>
  <si>
    <t>LPP02M</t>
  </si>
  <si>
    <t>2Д</t>
  </si>
  <si>
    <t>ГРУЗЧИКИ 3</t>
  </si>
  <si>
    <t>Шилов Н.В.</t>
  </si>
  <si>
    <t>Зубов А.В.</t>
  </si>
  <si>
    <t>Старков Р.А.</t>
  </si>
  <si>
    <t>Машьянов В.А.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</si>
</sst>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3"/>
      <name val="Times New Roman"/>
      <family val="1"/>
      <charset val="204"/>
    </font>
    <font>
      <sz val="14"/>
      <name val="Times New Roman"/>
      <family val="1"/>
      <charset val="204"/>
    </font>
    <font>
      <b/>
      <sz val="13"/>
      <color rgb="FFFF0000"/>
      <name val="Times New Roman"/>
      <family val="1"/>
      <charset val="204"/>
    </font>
    <font>
      <b/>
      <sz val="26"/>
      <color rgb="FFFFFF00"/>
      <name val="Times New Roman"/>
      <family val="1"/>
      <charset val="204"/>
    </font>
    <font>
      <sz val="10"/>
      <color rgb="FFFF0000"/>
      <name val="Arial Cyr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3"/>
      <color rgb="FFFF0000"/>
      <name val="Times New Roman"/>
      <family val="1"/>
      <charset val="204"/>
    </font>
    <font>
      <sz val="13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 Cyr"/>
      <family val="2"/>
      <charset val="204"/>
    </font>
    <font>
      <b/>
      <sz val="16"/>
      <color rgb="FFFF0000"/>
      <name val="Times New Roman"/>
      <family val="1"/>
      <charset val="204"/>
    </font>
    <font>
      <sz val="8"/>
      <name val="Arial"/>
      <family val="2"/>
    </font>
    <font>
      <b/>
      <sz val="16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6"/>
      <color rgb="FFFF0000"/>
      <name val="Arial Cyr"/>
      <family val="2"/>
      <charset val="204"/>
    </font>
    <font>
      <b/>
      <sz val="16"/>
      <color indexed="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rgb="FFCCFFFF"/>
      </patternFill>
    </fill>
    <fill>
      <patternFill patternType="solid">
        <fgColor rgb="FF0000FF"/>
        <bgColor rgb="FFCCFFFF"/>
      </patternFill>
    </fill>
    <fill>
      <patternFill patternType="solid">
        <fgColor rgb="FFFFCC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85D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81C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5FFB3"/>
        <bgColor indexed="64"/>
      </patternFill>
    </fill>
    <fill>
      <patternFill patternType="solid">
        <fgColor rgb="FFF7F75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rgb="FFCCFFFF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66FF"/>
        <bgColor rgb="FFCCFFFF"/>
      </patternFill>
    </fill>
    <fill>
      <patternFill patternType="solid">
        <fgColor rgb="FFFD8BF5"/>
        <bgColor indexed="64"/>
      </patternFill>
    </fill>
    <fill>
      <patternFill patternType="solid">
        <fgColor theme="0" tint="-0.34998626667073579"/>
        <bgColor theme="0" tint="-0.34998626667073579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7" fillId="0" borderId="0"/>
    <xf numFmtId="0" fontId="19" fillId="0" borderId="0"/>
  </cellStyleXfs>
  <cellXfs count="28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vertical="center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2" fillId="5" borderId="6" xfId="0" applyFont="1" applyFill="1" applyBorder="1" applyAlignment="1">
      <alignment vertical="center" wrapText="1"/>
    </xf>
    <xf numFmtId="2" fontId="2" fillId="5" borderId="6" xfId="0" applyNumberFormat="1" applyFont="1" applyFill="1" applyBorder="1" applyAlignment="1">
      <alignment vertical="center"/>
    </xf>
    <xf numFmtId="2" fontId="2" fillId="5" borderId="3" xfId="0" applyNumberFormat="1" applyFont="1" applyFill="1" applyBorder="1" applyAlignment="1">
      <alignment vertical="center"/>
    </xf>
    <xf numFmtId="2" fontId="6" fillId="5" borderId="3" xfId="0" applyNumberFormat="1" applyFont="1" applyFill="1" applyBorder="1" applyAlignment="1">
      <alignment vertical="center"/>
    </xf>
    <xf numFmtId="2" fontId="7" fillId="6" borderId="3" xfId="0" applyNumberFormat="1" applyFont="1" applyFill="1" applyBorder="1" applyAlignment="1">
      <alignment horizontal="center" vertical="center"/>
    </xf>
    <xf numFmtId="2" fontId="2" fillId="5" borderId="4" xfId="0" applyNumberFormat="1" applyFont="1" applyFill="1" applyBorder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0" fontId="2" fillId="7" borderId="8" xfId="0" applyFont="1" applyFill="1" applyBorder="1" applyAlignment="1">
      <alignment horizontal="left" vertical="center" wrapText="1"/>
    </xf>
    <xf numFmtId="49" fontId="2" fillId="8" borderId="9" xfId="0" applyNumberFormat="1" applyFont="1" applyFill="1" applyBorder="1" applyAlignment="1">
      <alignment horizontal="center" vertical="center"/>
    </xf>
    <xf numFmtId="2" fontId="1" fillId="7" borderId="10" xfId="0" applyNumberFormat="1" applyFont="1" applyFill="1" applyBorder="1" applyAlignment="1">
      <alignment horizontal="center" vertical="center" wrapText="1"/>
    </xf>
    <xf numFmtId="2" fontId="1" fillId="9" borderId="11" xfId="0" applyNumberFormat="1" applyFont="1" applyFill="1" applyBorder="1" applyAlignment="1">
      <alignment horizontal="center" vertical="center"/>
    </xf>
    <xf numFmtId="2" fontId="1" fillId="9" borderId="12" xfId="0" applyNumberFormat="1" applyFont="1" applyFill="1" applyBorder="1" applyAlignment="1">
      <alignment horizontal="center" vertical="center"/>
    </xf>
    <xf numFmtId="49" fontId="2" fillId="8" borderId="7" xfId="0" applyNumberFormat="1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left" vertical="center" wrapText="1"/>
    </xf>
    <xf numFmtId="2" fontId="2" fillId="0" borderId="14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 wrapText="1"/>
    </xf>
    <xf numFmtId="0" fontId="10" fillId="10" borderId="15" xfId="0" applyFont="1" applyFill="1" applyBorder="1" applyAlignment="1">
      <alignment horizontal="left" vertical="center" wrapText="1"/>
    </xf>
    <xf numFmtId="2" fontId="2" fillId="10" borderId="14" xfId="0" applyNumberFormat="1" applyFont="1" applyFill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wrapText="1"/>
    </xf>
    <xf numFmtId="2" fontId="1" fillId="3" borderId="10" xfId="0" applyNumberFormat="1" applyFont="1" applyFill="1" applyBorder="1" applyAlignment="1">
      <alignment horizontal="center" wrapText="1"/>
    </xf>
    <xf numFmtId="2" fontId="1" fillId="10" borderId="11" xfId="0" applyNumberFormat="1" applyFont="1" applyFill="1" applyBorder="1" applyAlignment="1">
      <alignment horizontal="center"/>
    </xf>
    <xf numFmtId="2" fontId="1" fillId="9" borderId="5" xfId="0" applyNumberFormat="1" applyFont="1" applyFill="1" applyBorder="1" applyAlignment="1">
      <alignment horizontal="center" vertical="center"/>
    </xf>
    <xf numFmtId="1" fontId="11" fillId="10" borderId="7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49" fontId="2" fillId="11" borderId="16" xfId="0" applyNumberFormat="1" applyFont="1" applyFill="1" applyBorder="1" applyAlignment="1">
      <alignment horizontal="center" vertical="center"/>
    </xf>
    <xf numFmtId="2" fontId="1" fillId="7" borderId="10" xfId="0" applyNumberFormat="1" applyFont="1" applyFill="1" applyBorder="1" applyAlignment="1">
      <alignment horizontal="center" wrapText="1"/>
    </xf>
    <xf numFmtId="2" fontId="1" fillId="0" borderId="11" xfId="0" applyNumberFormat="1" applyFont="1" applyBorder="1" applyAlignment="1">
      <alignment horizontal="center"/>
    </xf>
    <xf numFmtId="49" fontId="2" fillId="11" borderId="7" xfId="0" applyNumberFormat="1" applyFont="1" applyFill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1" fontId="11" fillId="0" borderId="7" xfId="0" applyNumberFormat="1" applyFont="1" applyBorder="1" applyAlignment="1">
      <alignment vertical="center" wrapText="1"/>
    </xf>
    <xf numFmtId="0" fontId="2" fillId="10" borderId="14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49" fontId="2" fillId="11" borderId="14" xfId="0" applyNumberFormat="1" applyFont="1" applyFill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 wrapText="1"/>
    </xf>
    <xf numFmtId="2" fontId="1" fillId="3" borderId="10" xfId="0" applyNumberFormat="1" applyFont="1" applyFill="1" applyBorder="1" applyAlignment="1">
      <alignment horizontal="center" vertical="center" wrapText="1"/>
    </xf>
    <xf numFmtId="2" fontId="1" fillId="0" borderId="11" xfId="0" applyNumberFormat="1" applyFont="1" applyBorder="1" applyAlignment="1">
      <alignment horizontal="center" vertical="center"/>
    </xf>
    <xf numFmtId="0" fontId="2" fillId="10" borderId="8" xfId="0" applyFont="1" applyFill="1" applyBorder="1" applyAlignment="1">
      <alignment horizontal="left" vertical="center" wrapText="1"/>
    </xf>
    <xf numFmtId="2" fontId="1" fillId="10" borderId="18" xfId="0" applyNumberFormat="1" applyFont="1" applyFill="1" applyBorder="1" applyAlignment="1">
      <alignment horizontal="center" vertical="center"/>
    </xf>
    <xf numFmtId="49" fontId="2" fillId="12" borderId="6" xfId="0" applyNumberFormat="1" applyFont="1" applyFill="1" applyBorder="1" applyAlignment="1">
      <alignment horizontal="center" vertical="center"/>
    </xf>
    <xf numFmtId="49" fontId="2" fillId="12" borderId="7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2" fontId="2" fillId="0" borderId="9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2" fillId="10" borderId="9" xfId="0" applyFont="1" applyFill="1" applyBorder="1" applyAlignment="1">
      <alignment horizontal="left" vertical="center" wrapText="1"/>
    </xf>
    <xf numFmtId="2" fontId="2" fillId="10" borderId="9" xfId="0" applyNumberFormat="1" applyFont="1" applyFill="1" applyBorder="1" applyAlignment="1">
      <alignment horizontal="center" vertical="center"/>
    </xf>
    <xf numFmtId="2" fontId="1" fillId="10" borderId="10" xfId="0" applyNumberFormat="1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left" vertical="center" wrapText="1"/>
    </xf>
    <xf numFmtId="2" fontId="2" fillId="0" borderId="20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wrapText="1"/>
    </xf>
    <xf numFmtId="2" fontId="1" fillId="0" borderId="0" xfId="0" applyNumberFormat="1" applyFont="1" applyAlignment="1">
      <alignment horizontal="center" vertical="center"/>
    </xf>
    <xf numFmtId="1" fontId="11" fillId="0" borderId="6" xfId="0" applyNumberFormat="1" applyFont="1" applyBorder="1" applyAlignment="1">
      <alignment vertical="center" wrapText="1"/>
    </xf>
    <xf numFmtId="1" fontId="11" fillId="0" borderId="7" xfId="0" applyNumberFormat="1" applyFont="1" applyBorder="1" applyAlignment="1">
      <alignment horizontal="center" vertical="center" wrapText="1"/>
    </xf>
    <xf numFmtId="49" fontId="2" fillId="14" borderId="9" xfId="0" applyNumberFormat="1" applyFont="1" applyFill="1" applyBorder="1" applyAlignment="1">
      <alignment horizontal="center" vertical="center"/>
    </xf>
    <xf numFmtId="2" fontId="1" fillId="3" borderId="11" xfId="0" applyNumberFormat="1" applyFont="1" applyFill="1" applyBorder="1" applyAlignment="1">
      <alignment horizontal="center" vertical="center"/>
    </xf>
    <xf numFmtId="49" fontId="2" fillId="14" borderId="7" xfId="0" applyNumberFormat="1" applyFont="1" applyFill="1" applyBorder="1" applyAlignment="1">
      <alignment horizontal="center" vertical="center"/>
    </xf>
    <xf numFmtId="2" fontId="1" fillId="10" borderId="11" xfId="0" applyNumberFormat="1" applyFont="1" applyFill="1" applyBorder="1" applyAlignment="1">
      <alignment horizontal="center" vertical="center"/>
    </xf>
    <xf numFmtId="0" fontId="2" fillId="15" borderId="8" xfId="0" applyFont="1" applyFill="1" applyBorder="1" applyAlignment="1">
      <alignment horizontal="left" vertical="center" wrapText="1"/>
    </xf>
    <xf numFmtId="49" fontId="2" fillId="14" borderId="8" xfId="0" applyNumberFormat="1" applyFont="1" applyFill="1" applyBorder="1" applyAlignment="1">
      <alignment horizontal="center" vertical="center"/>
    </xf>
    <xf numFmtId="2" fontId="1" fillId="15" borderId="10" xfId="0" applyNumberFormat="1" applyFont="1" applyFill="1" applyBorder="1" applyAlignment="1">
      <alignment horizontal="center" vertical="center" wrapText="1"/>
    </xf>
    <xf numFmtId="0" fontId="1" fillId="15" borderId="8" xfId="0" applyFont="1" applyFill="1" applyBorder="1" applyAlignment="1">
      <alignment horizontal="left" vertical="center" wrapText="1"/>
    </xf>
    <xf numFmtId="2" fontId="2" fillId="0" borderId="13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 wrapText="1"/>
    </xf>
    <xf numFmtId="0" fontId="2" fillId="16" borderId="9" xfId="0" applyFont="1" applyFill="1" applyBorder="1" applyAlignment="1">
      <alignment horizontal="left" vertical="center" wrapText="1"/>
    </xf>
    <xf numFmtId="49" fontId="2" fillId="14" borderId="14" xfId="0" applyNumberFormat="1" applyFont="1" applyFill="1" applyBorder="1" applyAlignment="1">
      <alignment horizontal="center" vertical="center"/>
    </xf>
    <xf numFmtId="2" fontId="1" fillId="17" borderId="10" xfId="0" applyNumberFormat="1" applyFont="1" applyFill="1" applyBorder="1" applyAlignment="1">
      <alignment horizontal="center" vertical="center" wrapText="1"/>
    </xf>
    <xf numFmtId="49" fontId="2" fillId="14" borderId="20" xfId="0" applyNumberFormat="1" applyFont="1" applyFill="1" applyBorder="1" applyAlignment="1">
      <alignment horizontal="center" vertical="center"/>
    </xf>
    <xf numFmtId="0" fontId="10" fillId="16" borderId="8" xfId="0" applyFont="1" applyFill="1" applyBorder="1" applyAlignment="1">
      <alignment horizontal="left" vertical="center" wrapText="1"/>
    </xf>
    <xf numFmtId="1" fontId="3" fillId="0" borderId="20" xfId="0" applyNumberFormat="1" applyFont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left" vertical="center" wrapText="1"/>
    </xf>
    <xf numFmtId="1" fontId="11" fillId="10" borderId="20" xfId="0" applyNumberFormat="1" applyFont="1" applyFill="1" applyBorder="1" applyAlignment="1">
      <alignment horizontal="center" vertical="center" wrapText="1"/>
    </xf>
    <xf numFmtId="2" fontId="1" fillId="18" borderId="10" xfId="0" applyNumberFormat="1" applyFont="1" applyFill="1" applyBorder="1" applyAlignment="1">
      <alignment horizontal="center" vertical="center" wrapText="1"/>
    </xf>
    <xf numFmtId="49" fontId="2" fillId="12" borderId="9" xfId="0" applyNumberFormat="1" applyFont="1" applyFill="1" applyBorder="1" applyAlignment="1">
      <alignment horizontal="center" vertical="center"/>
    </xf>
    <xf numFmtId="49" fontId="2" fillId="19" borderId="9" xfId="0" applyNumberFormat="1" applyFont="1" applyFill="1" applyBorder="1" applyAlignment="1">
      <alignment horizontal="center" vertical="center"/>
    </xf>
    <xf numFmtId="49" fontId="2" fillId="19" borderId="7" xfId="0" applyNumberFormat="1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left" vertical="center" wrapText="1"/>
    </xf>
    <xf numFmtId="2" fontId="1" fillId="7" borderId="0" xfId="0" applyNumberFormat="1" applyFont="1" applyFill="1" applyAlignment="1">
      <alignment horizontal="center" wrapText="1"/>
    </xf>
    <xf numFmtId="2" fontId="1" fillId="20" borderId="0" xfId="0" applyNumberFormat="1" applyFont="1" applyFill="1" applyAlignment="1">
      <alignment horizontal="center" vertical="center"/>
    </xf>
    <xf numFmtId="0" fontId="1" fillId="21" borderId="19" xfId="0" applyFont="1" applyFill="1" applyBorder="1" applyAlignment="1">
      <alignment horizontal="left" vertical="center" wrapText="1"/>
    </xf>
    <xf numFmtId="2" fontId="1" fillId="21" borderId="0" xfId="0" applyNumberFormat="1" applyFont="1" applyFill="1" applyAlignment="1">
      <alignment horizontal="center" wrapText="1"/>
    </xf>
    <xf numFmtId="0" fontId="1" fillId="22" borderId="19" xfId="0" applyFont="1" applyFill="1" applyBorder="1" applyAlignment="1">
      <alignment horizontal="left" vertical="center" wrapText="1"/>
    </xf>
    <xf numFmtId="2" fontId="1" fillId="22" borderId="0" xfId="0" applyNumberFormat="1" applyFont="1" applyFill="1" applyAlignment="1">
      <alignment horizontal="center" vertical="center"/>
    </xf>
    <xf numFmtId="0" fontId="1" fillId="23" borderId="19" xfId="0" applyFont="1" applyFill="1" applyBorder="1" applyAlignment="1">
      <alignment horizontal="left" vertical="center" wrapText="1"/>
    </xf>
    <xf numFmtId="2" fontId="1" fillId="23" borderId="0" xfId="0" applyNumberFormat="1" applyFont="1" applyFill="1" applyAlignment="1">
      <alignment horizontal="center" wrapText="1"/>
    </xf>
    <xf numFmtId="0" fontId="2" fillId="5" borderId="22" xfId="0" applyFont="1" applyFill="1" applyBorder="1" applyAlignment="1">
      <alignment vertical="center" wrapText="1"/>
    </xf>
    <xf numFmtId="1" fontId="11" fillId="0" borderId="23" xfId="0" applyNumberFormat="1" applyFont="1" applyBorder="1" applyAlignment="1">
      <alignment horizontal="center" vertical="center" wrapText="1"/>
    </xf>
    <xf numFmtId="2" fontId="1" fillId="9" borderId="11" xfId="0" applyNumberFormat="1" applyFont="1" applyFill="1" applyBorder="1" applyAlignment="1">
      <alignment horizontal="center"/>
    </xf>
    <xf numFmtId="0" fontId="10" fillId="0" borderId="13" xfId="0" applyFont="1" applyBorder="1" applyAlignment="1">
      <alignment horizontal="left" vertical="center" wrapText="1"/>
    </xf>
    <xf numFmtId="2" fontId="1" fillId="0" borderId="18" xfId="0" applyNumberFormat="1" applyFont="1" applyBorder="1" applyAlignment="1" applyProtection="1">
      <alignment horizontal="center" vertical="center"/>
      <protection locked="0"/>
    </xf>
    <xf numFmtId="2" fontId="1" fillId="0" borderId="11" xfId="0" applyNumberFormat="1" applyFont="1" applyBorder="1" applyAlignment="1" applyProtection="1">
      <alignment horizontal="center" vertical="center"/>
      <protection locked="0"/>
    </xf>
    <xf numFmtId="2" fontId="1" fillId="9" borderId="5" xfId="0" applyNumberFormat="1" applyFont="1" applyFill="1" applyBorder="1" applyAlignment="1">
      <alignment horizontal="center"/>
    </xf>
    <xf numFmtId="2" fontId="8" fillId="10" borderId="7" xfId="0" applyNumberFormat="1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horizontal="left" vertical="center" wrapText="1"/>
    </xf>
    <xf numFmtId="2" fontId="1" fillId="10" borderId="24" xfId="0" applyNumberFormat="1" applyFont="1" applyFill="1" applyBorder="1" applyAlignment="1">
      <alignment horizontal="center" vertical="center"/>
    </xf>
    <xf numFmtId="2" fontId="2" fillId="0" borderId="25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1" fontId="11" fillId="0" borderId="4" xfId="0" applyNumberFormat="1" applyFont="1" applyBorder="1" applyAlignment="1">
      <alignment vertical="center" wrapText="1"/>
    </xf>
    <xf numFmtId="1" fontId="11" fillId="0" borderId="23" xfId="0" applyNumberFormat="1" applyFont="1" applyBorder="1" applyAlignment="1">
      <alignment vertical="center" wrapText="1"/>
    </xf>
    <xf numFmtId="0" fontId="1" fillId="0" borderId="13" xfId="0" applyFont="1" applyBorder="1" applyAlignment="1">
      <alignment horizontal="left" vertical="center"/>
    </xf>
    <xf numFmtId="2" fontId="1" fillId="7" borderId="21" xfId="0" applyNumberFormat="1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left" vertical="center" wrapText="1"/>
    </xf>
    <xf numFmtId="49" fontId="2" fillId="12" borderId="20" xfId="0" applyNumberFormat="1" applyFont="1" applyFill="1" applyBorder="1" applyAlignment="1">
      <alignment horizontal="center" vertical="center"/>
    </xf>
    <xf numFmtId="1" fontId="11" fillId="10" borderId="26" xfId="0" applyNumberFormat="1" applyFont="1" applyFill="1" applyBorder="1" applyAlignment="1">
      <alignment horizontal="center" vertical="center" wrapText="1"/>
    </xf>
    <xf numFmtId="2" fontId="1" fillId="7" borderId="0" xfId="0" applyNumberFormat="1" applyFont="1" applyFill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2" fillId="7" borderId="27" xfId="0" applyFont="1" applyFill="1" applyBorder="1" applyAlignment="1">
      <alignment horizontal="left" vertical="center" wrapText="1"/>
    </xf>
    <xf numFmtId="49" fontId="2" fillId="14" borderId="27" xfId="0" applyNumberFormat="1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left" vertical="center" wrapText="1"/>
    </xf>
    <xf numFmtId="0" fontId="13" fillId="10" borderId="14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12" fillId="10" borderId="14" xfId="0" applyFont="1" applyFill="1" applyBorder="1" applyAlignment="1">
      <alignment horizontal="left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49" fontId="2" fillId="11" borderId="9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3" fillId="10" borderId="8" xfId="0" applyFont="1" applyFill="1" applyBorder="1" applyAlignment="1">
      <alignment horizontal="left" vertical="center" wrapText="1"/>
    </xf>
    <xf numFmtId="49" fontId="2" fillId="8" borderId="14" xfId="0" applyNumberFormat="1" applyFont="1" applyFill="1" applyBorder="1" applyAlignment="1">
      <alignment horizontal="center" vertical="center"/>
    </xf>
    <xf numFmtId="2" fontId="1" fillId="15" borderId="21" xfId="0" applyNumberFormat="1" applyFont="1" applyFill="1" applyBorder="1" applyAlignment="1">
      <alignment horizontal="center" vertical="center" wrapText="1"/>
    </xf>
    <xf numFmtId="0" fontId="1" fillId="24" borderId="8" xfId="0" applyFont="1" applyFill="1" applyBorder="1" applyAlignment="1">
      <alignment horizontal="left" vertical="center" wrapText="1"/>
    </xf>
    <xf numFmtId="2" fontId="1" fillId="24" borderId="21" xfId="0" applyNumberFormat="1" applyFont="1" applyFill="1" applyBorder="1" applyAlignment="1">
      <alignment horizontal="center" vertical="center" wrapText="1"/>
    </xf>
    <xf numFmtId="2" fontId="1" fillId="24" borderId="10" xfId="0" applyNumberFormat="1" applyFont="1" applyFill="1" applyBorder="1" applyAlignment="1">
      <alignment horizontal="center" vertical="center" wrapText="1"/>
    </xf>
    <xf numFmtId="49" fontId="2" fillId="12" borderId="14" xfId="0" applyNumberFormat="1" applyFont="1" applyFill="1" applyBorder="1" applyAlignment="1">
      <alignment horizontal="center" vertical="center"/>
    </xf>
    <xf numFmtId="2" fontId="1" fillId="15" borderId="11" xfId="0" applyNumberFormat="1" applyFont="1" applyFill="1" applyBorder="1" applyAlignment="1">
      <alignment horizontal="center" vertical="center"/>
    </xf>
    <xf numFmtId="2" fontId="2" fillId="0" borderId="2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2" fontId="14" fillId="0" borderId="2" xfId="0" applyNumberFormat="1" applyFont="1" applyBorder="1" applyAlignment="1">
      <alignment horizontal="center" vertical="center" wrapText="1"/>
    </xf>
    <xf numFmtId="2" fontId="1" fillId="0" borderId="21" xfId="0" applyNumberFormat="1" applyFont="1" applyBorder="1" applyAlignment="1">
      <alignment horizontal="center" wrapText="1"/>
    </xf>
    <xf numFmtId="2" fontId="1" fillId="0" borderId="11" xfId="0" applyNumberFormat="1" applyFont="1" applyBorder="1" applyAlignment="1" applyProtection="1">
      <alignment horizontal="center"/>
      <protection locked="0"/>
    </xf>
    <xf numFmtId="2" fontId="1" fillId="3" borderId="11" xfId="0" applyNumberFormat="1" applyFont="1" applyFill="1" applyBorder="1" applyAlignment="1">
      <alignment horizontal="center"/>
    </xf>
    <xf numFmtId="2" fontId="1" fillId="0" borderId="18" xfId="0" applyNumberFormat="1" applyFont="1" applyBorder="1" applyAlignment="1" applyProtection="1">
      <alignment horizontal="center"/>
      <protection locked="0"/>
    </xf>
    <xf numFmtId="1" fontId="3" fillId="10" borderId="7" xfId="0" applyNumberFormat="1" applyFont="1" applyFill="1" applyBorder="1" applyAlignment="1">
      <alignment horizontal="center" vertical="center" wrapText="1"/>
    </xf>
    <xf numFmtId="2" fontId="14" fillId="25" borderId="10" xfId="0" applyNumberFormat="1" applyFont="1" applyFill="1" applyBorder="1" applyAlignment="1">
      <alignment horizontal="center" wrapText="1"/>
    </xf>
    <xf numFmtId="2" fontId="1" fillId="22" borderId="10" xfId="0" applyNumberFormat="1" applyFont="1" applyFill="1" applyBorder="1" applyAlignment="1">
      <alignment horizontal="center" wrapText="1"/>
    </xf>
    <xf numFmtId="0" fontId="10" fillId="10" borderId="8" xfId="0" applyFont="1" applyFill="1" applyBorder="1" applyAlignment="1">
      <alignment horizontal="left" vertical="center" wrapText="1"/>
    </xf>
    <xf numFmtId="2" fontId="2" fillId="10" borderId="8" xfId="0" applyNumberFormat="1" applyFont="1" applyFill="1" applyBorder="1" applyAlignment="1">
      <alignment horizontal="center" vertical="center"/>
    </xf>
    <xf numFmtId="49" fontId="2" fillId="11" borderId="8" xfId="0" applyNumberFormat="1" applyFont="1" applyFill="1" applyBorder="1" applyAlignment="1">
      <alignment horizontal="center" vertical="center"/>
    </xf>
    <xf numFmtId="2" fontId="1" fillId="15" borderId="11" xfId="0" applyNumberFormat="1" applyFont="1" applyFill="1" applyBorder="1" applyAlignment="1">
      <alignment horizontal="center"/>
    </xf>
    <xf numFmtId="0" fontId="1" fillId="15" borderId="13" xfId="0" applyFont="1" applyFill="1" applyBorder="1" applyAlignment="1">
      <alignment horizontal="left" vertical="center" wrapText="1"/>
    </xf>
    <xf numFmtId="2" fontId="2" fillId="10" borderId="20" xfId="0" applyNumberFormat="1" applyFont="1" applyFill="1" applyBorder="1" applyAlignment="1">
      <alignment horizontal="center" vertical="center"/>
    </xf>
    <xf numFmtId="2" fontId="1" fillId="26" borderId="5" xfId="0" applyNumberFormat="1" applyFont="1" applyFill="1" applyBorder="1" applyAlignment="1">
      <alignment horizontal="center" wrapText="1"/>
    </xf>
    <xf numFmtId="49" fontId="2" fillId="11" borderId="20" xfId="0" applyNumberFormat="1" applyFont="1" applyFill="1" applyBorder="1" applyAlignment="1">
      <alignment horizontal="center" vertical="center"/>
    </xf>
    <xf numFmtId="2" fontId="1" fillId="26" borderId="29" xfId="0" applyNumberFormat="1" applyFont="1" applyFill="1" applyBorder="1" applyAlignment="1">
      <alignment horizontal="center"/>
    </xf>
    <xf numFmtId="2" fontId="1" fillId="10" borderId="29" xfId="0" applyNumberFormat="1" applyFont="1" applyFill="1" applyBorder="1" applyAlignment="1">
      <alignment horizontal="center"/>
    </xf>
    <xf numFmtId="1" fontId="11" fillId="0" borderId="6" xfId="0" applyNumberFormat="1" applyFont="1" applyBorder="1" applyAlignment="1">
      <alignment horizontal="center" vertical="center" wrapText="1"/>
    </xf>
    <xf numFmtId="2" fontId="2" fillId="5" borderId="23" xfId="0" applyNumberFormat="1" applyFont="1" applyFill="1" applyBorder="1" applyAlignment="1">
      <alignment vertical="center"/>
    </xf>
    <xf numFmtId="2" fontId="15" fillId="0" borderId="21" xfId="0" applyNumberFormat="1" applyFont="1" applyBorder="1" applyAlignment="1">
      <alignment horizontal="center" wrapText="1"/>
    </xf>
    <xf numFmtId="2" fontId="15" fillId="0" borderId="10" xfId="0" applyNumberFormat="1" applyFont="1" applyBorder="1" applyAlignment="1">
      <alignment horizontal="center" wrapText="1"/>
    </xf>
    <xf numFmtId="2" fontId="15" fillId="3" borderId="10" xfId="0" applyNumberFormat="1" applyFont="1" applyFill="1" applyBorder="1" applyAlignment="1">
      <alignment horizontal="center" wrapText="1"/>
    </xf>
    <xf numFmtId="49" fontId="2" fillId="0" borderId="7" xfId="0" applyNumberFormat="1" applyFont="1" applyBorder="1" applyAlignment="1">
      <alignment horizontal="center" vertical="center"/>
    </xf>
    <xf numFmtId="0" fontId="2" fillId="27" borderId="9" xfId="0" applyFont="1" applyFill="1" applyBorder="1" applyAlignment="1">
      <alignment horizontal="left" vertical="center" wrapText="1"/>
    </xf>
    <xf numFmtId="2" fontId="1" fillId="27" borderId="21" xfId="0" applyNumberFormat="1" applyFont="1" applyFill="1" applyBorder="1" applyAlignment="1">
      <alignment horizontal="center" wrapText="1"/>
    </xf>
    <xf numFmtId="2" fontId="1" fillId="27" borderId="10" xfId="0" applyNumberFormat="1" applyFont="1" applyFill="1" applyBorder="1" applyAlignment="1">
      <alignment horizontal="center" wrapText="1"/>
    </xf>
    <xf numFmtId="2" fontId="1" fillId="27" borderId="11" xfId="0" applyNumberFormat="1" applyFont="1" applyFill="1" applyBorder="1" applyAlignment="1">
      <alignment horizontal="center"/>
    </xf>
    <xf numFmtId="1" fontId="2" fillId="14" borderId="7" xfId="0" applyNumberFormat="1" applyFont="1" applyFill="1" applyBorder="1" applyAlignment="1">
      <alignment horizontal="center" vertical="center"/>
    </xf>
    <xf numFmtId="0" fontId="1" fillId="27" borderId="25" xfId="0" applyFont="1" applyFill="1" applyBorder="1" applyAlignment="1">
      <alignment horizontal="left" vertical="center"/>
    </xf>
    <xf numFmtId="0" fontId="10" fillId="28" borderId="6" xfId="0" applyFont="1" applyFill="1" applyBorder="1" applyAlignment="1">
      <alignment horizontal="left" vertical="center"/>
    </xf>
    <xf numFmtId="0" fontId="2" fillId="27" borderId="20" xfId="0" applyFont="1" applyFill="1" applyBorder="1" applyAlignment="1">
      <alignment horizontal="left" vertical="center"/>
    </xf>
    <xf numFmtId="49" fontId="2" fillId="14" borderId="16" xfId="0" applyNumberFormat="1" applyFont="1" applyFill="1" applyBorder="1" applyAlignment="1">
      <alignment horizontal="center" vertical="center"/>
    </xf>
    <xf numFmtId="2" fontId="1" fillId="9" borderId="11" xfId="0" applyNumberFormat="1" applyFont="1" applyFill="1" applyBorder="1" applyAlignment="1">
      <alignment horizontal="center" vertical="center" wrapText="1"/>
    </xf>
    <xf numFmtId="2" fontId="2" fillId="10" borderId="16" xfId="0" applyNumberFormat="1" applyFont="1" applyFill="1" applyBorder="1" applyAlignment="1">
      <alignment horizontal="center" vertical="center"/>
    </xf>
    <xf numFmtId="0" fontId="2" fillId="27" borderId="9" xfId="0" applyFont="1" applyFill="1" applyBorder="1" applyAlignment="1">
      <alignment horizontal="left" vertical="center"/>
    </xf>
    <xf numFmtId="2" fontId="1" fillId="27" borderId="18" xfId="0" applyNumberFormat="1" applyFont="1" applyFill="1" applyBorder="1" applyAlignment="1" applyProtection="1">
      <alignment horizontal="center"/>
      <protection locked="0"/>
    </xf>
    <xf numFmtId="2" fontId="1" fillId="27" borderId="11" xfId="0" applyNumberFormat="1" applyFont="1" applyFill="1" applyBorder="1" applyAlignment="1" applyProtection="1">
      <alignment horizontal="center"/>
      <protection locked="0"/>
    </xf>
    <xf numFmtId="2" fontId="1" fillId="3" borderId="11" xfId="0" applyNumberFormat="1" applyFont="1" applyFill="1" applyBorder="1" applyAlignment="1">
      <alignment horizontal="center" wrapText="1"/>
    </xf>
    <xf numFmtId="2" fontId="1" fillId="27" borderId="11" xfId="0" applyNumberFormat="1" applyFont="1" applyFill="1" applyBorder="1" applyAlignment="1">
      <alignment horizontal="center" wrapText="1"/>
    </xf>
    <xf numFmtId="2" fontId="1" fillId="26" borderId="11" xfId="0" applyNumberFormat="1" applyFont="1" applyFill="1" applyBorder="1" applyAlignment="1">
      <alignment horizontal="center" wrapText="1"/>
    </xf>
    <xf numFmtId="2" fontId="1" fillId="26" borderId="11" xfId="0" applyNumberFormat="1" applyFont="1" applyFill="1" applyBorder="1" applyAlignment="1">
      <alignment horizontal="center"/>
    </xf>
    <xf numFmtId="0" fontId="2" fillId="16" borderId="10" xfId="0" applyFont="1" applyFill="1" applyBorder="1" applyAlignment="1">
      <alignment horizontal="left" vertical="center" wrapText="1"/>
    </xf>
    <xf numFmtId="49" fontId="2" fillId="14" borderId="11" xfId="0" applyNumberFormat="1" applyFont="1" applyFill="1" applyBorder="1" applyAlignment="1">
      <alignment horizontal="center" vertical="center"/>
    </xf>
    <xf numFmtId="2" fontId="1" fillId="16" borderId="11" xfId="0" applyNumberFormat="1" applyFont="1" applyFill="1" applyBorder="1" applyAlignment="1" applyProtection="1">
      <alignment horizontal="center"/>
      <protection locked="0"/>
    </xf>
    <xf numFmtId="2" fontId="1" fillId="16" borderId="10" xfId="0" applyNumberFormat="1" applyFont="1" applyFill="1" applyBorder="1" applyAlignment="1">
      <alignment horizontal="center" wrapText="1"/>
    </xf>
    <xf numFmtId="2" fontId="1" fillId="3" borderId="10" xfId="0" applyNumberFormat="1" applyFont="1" applyFill="1" applyBorder="1" applyAlignment="1">
      <alignment horizontal="center"/>
    </xf>
    <xf numFmtId="0" fontId="1" fillId="17" borderId="14" xfId="0" applyFont="1" applyFill="1" applyBorder="1" applyAlignment="1">
      <alignment horizontal="left" vertical="center"/>
    </xf>
    <xf numFmtId="2" fontId="1" fillId="0" borderId="11" xfId="0" applyNumberFormat="1" applyFont="1" applyBorder="1" applyAlignment="1">
      <alignment horizontal="center" wrapText="1"/>
    </xf>
    <xf numFmtId="0" fontId="2" fillId="0" borderId="12" xfId="0" applyFont="1" applyBorder="1" applyAlignment="1">
      <alignment horizontal="left" vertical="center" wrapText="1"/>
    </xf>
    <xf numFmtId="2" fontId="2" fillId="0" borderId="30" xfId="0" applyNumberFormat="1" applyFont="1" applyBorder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8" fillId="0" borderId="6" xfId="0" applyNumberFormat="1" applyFont="1" applyBorder="1" applyAlignment="1">
      <alignment horizontal="center" vertical="center" wrapText="1"/>
    </xf>
    <xf numFmtId="2" fontId="2" fillId="10" borderId="13" xfId="0" applyNumberFormat="1" applyFont="1" applyFill="1" applyBorder="1" applyAlignment="1">
      <alignment horizontal="center" vertical="center"/>
    </xf>
    <xf numFmtId="0" fontId="1" fillId="22" borderId="31" xfId="0" applyFont="1" applyFill="1" applyBorder="1" applyAlignment="1">
      <alignment horizontal="left" vertical="center" wrapText="1"/>
    </xf>
    <xf numFmtId="2" fontId="2" fillId="0" borderId="7" xfId="0" applyNumberFormat="1" applyFont="1" applyBorder="1" applyAlignment="1">
      <alignment horizontal="center" vertical="center"/>
    </xf>
    <xf numFmtId="0" fontId="1" fillId="13" borderId="31" xfId="0" applyFont="1" applyFill="1" applyBorder="1" applyAlignment="1">
      <alignment horizontal="left" vertical="center" wrapText="1"/>
    </xf>
    <xf numFmtId="2" fontId="2" fillId="5" borderId="28" xfId="0" applyNumberFormat="1" applyFont="1" applyFill="1" applyBorder="1" applyAlignment="1">
      <alignment vertical="center"/>
    </xf>
    <xf numFmtId="2" fontId="2" fillId="5" borderId="3" xfId="0" applyNumberFormat="1" applyFont="1" applyFill="1" applyBorder="1"/>
    <xf numFmtId="0" fontId="2" fillId="7" borderId="9" xfId="0" applyFont="1" applyFill="1" applyBorder="1" applyAlignment="1">
      <alignment horizontal="left" vertical="center" wrapText="1"/>
    </xf>
    <xf numFmtId="2" fontId="1" fillId="7" borderId="10" xfId="0" applyNumberFormat="1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left" vertical="center" wrapText="1"/>
    </xf>
    <xf numFmtId="2" fontId="1" fillId="7" borderId="11" xfId="0" applyNumberFormat="1" applyFont="1" applyFill="1" applyBorder="1" applyAlignment="1">
      <alignment horizontal="center" vertical="center"/>
    </xf>
    <xf numFmtId="2" fontId="1" fillId="9" borderId="10" xfId="0" applyNumberFormat="1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2" fontId="1" fillId="23" borderId="10" xfId="0" applyNumberFormat="1" applyFont="1" applyFill="1" applyBorder="1" applyAlignment="1">
      <alignment horizontal="center" wrapText="1"/>
    </xf>
    <xf numFmtId="2" fontId="1" fillId="9" borderId="32" xfId="0" applyNumberFormat="1" applyFont="1" applyFill="1" applyBorder="1" applyAlignment="1">
      <alignment horizontal="center" vertical="center" wrapText="1"/>
    </xf>
    <xf numFmtId="2" fontId="1" fillId="21" borderId="10" xfId="0" applyNumberFormat="1" applyFont="1" applyFill="1" applyBorder="1" applyAlignment="1">
      <alignment horizontal="center" wrapText="1"/>
    </xf>
    <xf numFmtId="0" fontId="0" fillId="0" borderId="17" xfId="0" applyBorder="1"/>
    <xf numFmtId="0" fontId="0" fillId="0" borderId="7" xfId="0" applyBorder="1"/>
    <xf numFmtId="2" fontId="1" fillId="9" borderId="29" xfId="0" applyNumberFormat="1" applyFont="1" applyFill="1" applyBorder="1" applyAlignment="1">
      <alignment horizontal="center" vertical="center"/>
    </xf>
    <xf numFmtId="0" fontId="1" fillId="13" borderId="20" xfId="0" applyFont="1" applyFill="1" applyBorder="1" applyAlignment="1">
      <alignment horizontal="left" vertical="center"/>
    </xf>
    <xf numFmtId="2" fontId="1" fillId="13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19" xfId="0" applyFont="1" applyBorder="1" applyAlignment="1">
      <alignment horizontal="right" vertical="center"/>
    </xf>
    <xf numFmtId="2" fontId="2" fillId="29" borderId="7" xfId="0" applyNumberFormat="1" applyFont="1" applyFill="1" applyBorder="1" applyAlignment="1">
      <alignment horizontal="center" vertical="center"/>
    </xf>
    <xf numFmtId="1" fontId="1" fillId="29" borderId="0" xfId="0" applyNumberFormat="1" applyFont="1" applyFill="1" applyAlignment="1">
      <alignment horizontal="center" vertical="center" wrapText="1"/>
    </xf>
    <xf numFmtId="1" fontId="1" fillId="29" borderId="7" xfId="0" applyNumberFormat="1" applyFont="1" applyFill="1" applyBorder="1" applyAlignment="1">
      <alignment horizontal="center" vertical="center" wrapText="1"/>
    </xf>
    <xf numFmtId="2" fontId="2" fillId="30" borderId="7" xfId="0" applyNumberFormat="1" applyFont="1" applyFill="1" applyBorder="1" applyAlignment="1">
      <alignment horizontal="center" vertical="center"/>
    </xf>
    <xf numFmtId="1" fontId="1" fillId="30" borderId="0" xfId="0" applyNumberFormat="1" applyFont="1" applyFill="1" applyAlignment="1">
      <alignment horizontal="center" vertical="center" wrapText="1"/>
    </xf>
    <xf numFmtId="1" fontId="1" fillId="30" borderId="26" xfId="0" applyNumberFormat="1" applyFont="1" applyFill="1" applyBorder="1" applyAlignment="1">
      <alignment horizontal="center" vertical="center" wrapText="1"/>
    </xf>
    <xf numFmtId="0" fontId="2" fillId="31" borderId="22" xfId="0" applyFont="1" applyFill="1" applyBorder="1" applyAlignment="1">
      <alignment vertical="center" wrapText="1"/>
    </xf>
    <xf numFmtId="2" fontId="2" fillId="31" borderId="6" xfId="0" applyNumberFormat="1" applyFont="1" applyFill="1" applyBorder="1" applyAlignment="1">
      <alignment vertical="center"/>
    </xf>
    <xf numFmtId="2" fontId="2" fillId="31" borderId="3" xfId="0" applyNumberFormat="1" applyFont="1" applyFill="1" applyBorder="1" applyAlignment="1">
      <alignment vertical="center"/>
    </xf>
    <xf numFmtId="2" fontId="2" fillId="31" borderId="4" xfId="0" applyNumberFormat="1" applyFont="1" applyFill="1" applyBorder="1" applyAlignment="1">
      <alignment vertical="center"/>
    </xf>
    <xf numFmtId="2" fontId="1" fillId="9" borderId="33" xfId="0" applyNumberFormat="1" applyFont="1" applyFill="1" applyBorder="1" applyAlignment="1">
      <alignment horizontal="center" vertical="center" wrapText="1"/>
    </xf>
    <xf numFmtId="0" fontId="16" fillId="10" borderId="13" xfId="0" applyFont="1" applyFill="1" applyBorder="1" applyAlignment="1">
      <alignment horizontal="left" vertical="center" wrapText="1"/>
    </xf>
    <xf numFmtId="49" fontId="2" fillId="14" borderId="25" xfId="0" applyNumberFormat="1" applyFont="1" applyFill="1" applyBorder="1" applyAlignment="1">
      <alignment horizontal="center" vertical="center"/>
    </xf>
    <xf numFmtId="2" fontId="1" fillId="7" borderId="21" xfId="0" applyNumberFormat="1" applyFont="1" applyFill="1" applyBorder="1" applyAlignment="1">
      <alignment horizontal="center" wrapText="1"/>
    </xf>
    <xf numFmtId="2" fontId="1" fillId="7" borderId="10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left" vertical="center" wrapText="1"/>
    </xf>
    <xf numFmtId="1" fontId="11" fillId="0" borderId="20" xfId="0" applyNumberFormat="1" applyFont="1" applyBorder="1" applyAlignment="1">
      <alignment horizontal="center" vertical="center" wrapText="1"/>
    </xf>
    <xf numFmtId="2" fontId="1" fillId="17" borderId="10" xfId="0" applyNumberFormat="1" applyFont="1" applyFill="1" applyBorder="1" applyAlignment="1">
      <alignment horizontal="center" wrapText="1"/>
    </xf>
    <xf numFmtId="1" fontId="3" fillId="0" borderId="7" xfId="0" applyNumberFormat="1" applyFont="1" applyBorder="1" applyAlignment="1">
      <alignment vertical="center" wrapText="1"/>
    </xf>
    <xf numFmtId="2" fontId="2" fillId="10" borderId="15" xfId="0" applyNumberFormat="1" applyFont="1" applyFill="1" applyBorder="1" applyAlignment="1">
      <alignment horizontal="center" vertical="center"/>
    </xf>
    <xf numFmtId="0" fontId="1" fillId="21" borderId="19" xfId="0" applyFont="1" applyFill="1" applyBorder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0" fontId="1" fillId="22" borderId="19" xfId="0" applyFont="1" applyFill="1" applyBorder="1" applyAlignment="1">
      <alignment horizontal="left" vertical="center"/>
    </xf>
    <xf numFmtId="2" fontId="1" fillId="22" borderId="0" xfId="0" applyNumberFormat="1" applyFont="1" applyFill="1" applyAlignment="1">
      <alignment horizontal="center" wrapText="1"/>
    </xf>
    <xf numFmtId="0" fontId="1" fillId="7" borderId="19" xfId="0" applyFont="1" applyFill="1" applyBorder="1" applyAlignment="1">
      <alignment horizontal="left" vertical="center"/>
    </xf>
    <xf numFmtId="0" fontId="1" fillId="13" borderId="19" xfId="0" applyFont="1" applyFill="1" applyBorder="1" applyAlignment="1">
      <alignment horizontal="left" vertical="center"/>
    </xf>
    <xf numFmtId="2" fontId="1" fillId="0" borderId="34" xfId="0" applyNumberFormat="1" applyFont="1" applyBorder="1" applyAlignment="1">
      <alignment horizontal="center" wrapText="1"/>
    </xf>
    <xf numFmtId="2" fontId="1" fillId="0" borderId="34" xfId="0" applyNumberFormat="1" applyFont="1" applyBorder="1" applyAlignment="1">
      <alignment horizontal="center" vertical="center"/>
    </xf>
    <xf numFmtId="2" fontId="2" fillId="31" borderId="34" xfId="0" applyNumberFormat="1" applyFont="1" applyFill="1" applyBorder="1" applyAlignment="1">
      <alignment vertical="center"/>
    </xf>
    <xf numFmtId="2" fontId="6" fillId="31" borderId="34" xfId="0" applyNumberFormat="1" applyFont="1" applyFill="1" applyBorder="1" applyAlignment="1">
      <alignment vertical="center"/>
    </xf>
    <xf numFmtId="2" fontId="7" fillId="6" borderId="34" xfId="0" applyNumberFormat="1" applyFont="1" applyFill="1" applyBorder="1" applyAlignment="1">
      <alignment horizontal="center" vertical="center"/>
    </xf>
    <xf numFmtId="2" fontId="2" fillId="31" borderId="26" xfId="0" applyNumberFormat="1" applyFont="1" applyFill="1" applyBorder="1" applyAlignment="1">
      <alignment vertical="center"/>
    </xf>
    <xf numFmtId="1" fontId="11" fillId="0" borderId="26" xfId="0" applyNumberFormat="1" applyFont="1" applyBorder="1" applyAlignment="1">
      <alignment vertical="center" wrapText="1"/>
    </xf>
    <xf numFmtId="2" fontId="6" fillId="31" borderId="3" xfId="0" applyNumberFormat="1" applyFont="1" applyFill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49" fontId="2" fillId="32" borderId="9" xfId="0" applyNumberFormat="1" applyFont="1" applyFill="1" applyBorder="1" applyAlignment="1">
      <alignment horizontal="center" vertical="center"/>
    </xf>
    <xf numFmtId="49" fontId="2" fillId="32" borderId="7" xfId="0" applyNumberFormat="1" applyFont="1" applyFill="1" applyBorder="1" applyAlignment="1">
      <alignment horizontal="center" vertical="center"/>
    </xf>
    <xf numFmtId="2" fontId="2" fillId="10" borderId="25" xfId="0" applyNumberFormat="1" applyFont="1" applyFill="1" applyBorder="1" applyAlignment="1">
      <alignment horizontal="center" vertical="center"/>
    </xf>
    <xf numFmtId="0" fontId="16" fillId="10" borderId="14" xfId="0" applyFont="1" applyFill="1" applyBorder="1" applyAlignment="1">
      <alignment horizontal="left" vertical="center" wrapText="1"/>
    </xf>
    <xf numFmtId="1" fontId="11" fillId="0" borderId="28" xfId="0" applyNumberFormat="1" applyFont="1" applyBorder="1" applyAlignment="1">
      <alignment horizontal="center" vertical="center" wrapText="1"/>
    </xf>
    <xf numFmtId="2" fontId="1" fillId="13" borderId="0" xfId="0" applyNumberFormat="1" applyFont="1" applyFill="1" applyAlignment="1">
      <alignment horizontal="center" wrapText="1"/>
    </xf>
    <xf numFmtId="0" fontId="2" fillId="33" borderId="6" xfId="0" applyFont="1" applyFill="1" applyBorder="1" applyAlignment="1">
      <alignment vertical="center"/>
    </xf>
    <xf numFmtId="2" fontId="2" fillId="33" borderId="22" xfId="0" applyNumberFormat="1" applyFont="1" applyFill="1" applyBorder="1" applyAlignment="1">
      <alignment vertical="center"/>
    </xf>
    <xf numFmtId="2" fontId="2" fillId="33" borderId="3" xfId="0" applyNumberFormat="1" applyFont="1" applyFill="1" applyBorder="1" applyAlignment="1">
      <alignment vertical="center"/>
    </xf>
    <xf numFmtId="2" fontId="2" fillId="33" borderId="4" xfId="0" applyNumberFormat="1" applyFont="1" applyFill="1" applyBorder="1" applyAlignment="1">
      <alignment vertical="center"/>
    </xf>
    <xf numFmtId="0" fontId="2" fillId="0" borderId="0" xfId="1" applyFont="1" applyAlignment="1">
      <alignment horizontal="right" vertical="center" wrapText="1"/>
    </xf>
    <xf numFmtId="2" fontId="2" fillId="29" borderId="0" xfId="0" applyNumberFormat="1" applyFont="1" applyFill="1" applyAlignment="1">
      <alignment horizontal="center" vertical="center"/>
    </xf>
    <xf numFmtId="2" fontId="2" fillId="30" borderId="0" xfId="0" applyNumberFormat="1" applyFont="1" applyFill="1" applyAlignment="1">
      <alignment horizontal="center" vertical="center"/>
    </xf>
    <xf numFmtId="1" fontId="1" fillId="30" borderId="7" xfId="0" applyNumberFormat="1" applyFont="1" applyFill="1" applyBorder="1" applyAlignment="1">
      <alignment horizontal="center" vertical="center" wrapText="1"/>
    </xf>
    <xf numFmtId="1" fontId="18" fillId="0" borderId="6" xfId="0" applyNumberFormat="1" applyFont="1" applyBorder="1" applyAlignment="1">
      <alignment vertical="center" wrapText="1"/>
    </xf>
    <xf numFmtId="0" fontId="20" fillId="0" borderId="35" xfId="2" applyFont="1" applyBorder="1" applyAlignment="1">
      <alignment vertical="center" wrapText="1"/>
    </xf>
    <xf numFmtId="2" fontId="1" fillId="34" borderId="11" xfId="0" applyNumberFormat="1" applyFont="1" applyFill="1" applyBorder="1" applyAlignment="1">
      <alignment horizontal="center" vertical="center"/>
    </xf>
    <xf numFmtId="0" fontId="21" fillId="4" borderId="11" xfId="0" applyFont="1" applyFill="1" applyBorder="1" applyAlignment="1">
      <alignment horizontal="center"/>
    </xf>
    <xf numFmtId="0" fontId="21" fillId="4" borderId="12" xfId="0" applyFont="1" applyFill="1" applyBorder="1" applyAlignment="1">
      <alignment horizontal="center"/>
    </xf>
    <xf numFmtId="49" fontId="20" fillId="12" borderId="20" xfId="0" applyNumberFormat="1" applyFont="1" applyFill="1" applyBorder="1" applyAlignment="1">
      <alignment horizontal="center" vertical="center"/>
    </xf>
    <xf numFmtId="2" fontId="1" fillId="20" borderId="11" xfId="0" applyNumberFormat="1" applyFont="1" applyFill="1" applyBorder="1" applyAlignment="1">
      <alignment horizontal="center" vertical="center"/>
    </xf>
    <xf numFmtId="2" fontId="22" fillId="0" borderId="20" xfId="0" applyNumberFormat="1" applyFont="1" applyBorder="1" applyAlignment="1">
      <alignment horizontal="center" vertical="center" wrapText="1"/>
    </xf>
    <xf numFmtId="0" fontId="2" fillId="35" borderId="13" xfId="0" applyFont="1" applyFill="1" applyBorder="1" applyAlignment="1">
      <alignment horizontal="left" vertical="center"/>
    </xf>
    <xf numFmtId="1" fontId="18" fillId="10" borderId="20" xfId="0" applyNumberFormat="1" applyFont="1" applyFill="1" applyBorder="1" applyAlignment="1">
      <alignment horizontal="center" vertical="center" wrapText="1"/>
    </xf>
    <xf numFmtId="1" fontId="20" fillId="14" borderId="20" xfId="0" applyNumberFormat="1" applyFont="1" applyFill="1" applyBorder="1" applyAlignment="1">
      <alignment horizontal="center" vertical="center"/>
    </xf>
    <xf numFmtId="1" fontId="18" fillId="0" borderId="20" xfId="0" applyNumberFormat="1" applyFont="1" applyBorder="1" applyAlignment="1">
      <alignment horizontal="center" vertical="center" wrapText="1"/>
    </xf>
    <xf numFmtId="2" fontId="1" fillId="3" borderId="11" xfId="0" applyNumberFormat="1" applyFont="1" applyFill="1" applyBorder="1" applyAlignment="1">
      <alignment horizontal="center" vertical="center" wrapText="1"/>
    </xf>
    <xf numFmtId="2" fontId="1" fillId="0" borderId="11" xfId="0" applyNumberFormat="1" applyFont="1" applyBorder="1" applyAlignment="1">
      <alignment horizontal="center" vertical="center" wrapText="1"/>
    </xf>
    <xf numFmtId="49" fontId="20" fillId="11" borderId="20" xfId="0" applyNumberFormat="1" applyFont="1" applyFill="1" applyBorder="1" applyAlignment="1">
      <alignment horizontal="center" vertical="center"/>
    </xf>
    <xf numFmtId="0" fontId="20" fillId="0" borderId="11" xfId="2" applyFont="1" applyBorder="1" applyAlignment="1">
      <alignment vertical="center" wrapText="1"/>
    </xf>
    <xf numFmtId="2" fontId="2" fillId="0" borderId="11" xfId="0" applyNumberFormat="1" applyFont="1" applyBorder="1" applyAlignment="1">
      <alignment horizontal="center" vertical="center"/>
    </xf>
    <xf numFmtId="0" fontId="2" fillId="35" borderId="11" xfId="0" applyFont="1" applyFill="1" applyBorder="1" applyAlignment="1">
      <alignment horizontal="left" vertical="center"/>
    </xf>
    <xf numFmtId="2" fontId="2" fillId="35" borderId="11" xfId="0" applyNumberFormat="1" applyFont="1" applyFill="1" applyBorder="1" applyAlignment="1">
      <alignment horizontal="center" vertical="center"/>
    </xf>
    <xf numFmtId="2" fontId="1" fillId="35" borderId="11" xfId="0" applyNumberFormat="1" applyFont="1" applyFill="1" applyBorder="1" applyAlignment="1">
      <alignment horizontal="center" vertical="center"/>
    </xf>
    <xf numFmtId="1" fontId="23" fillId="35" borderId="20" xfId="0" applyNumberFormat="1" applyFont="1" applyFill="1" applyBorder="1" applyAlignment="1">
      <alignment vertical="center" wrapText="1"/>
    </xf>
    <xf numFmtId="49" fontId="2" fillId="8" borderId="11" xfId="0" applyNumberFormat="1" applyFont="1" applyFill="1" applyBorder="1" applyAlignment="1">
      <alignment horizontal="center" vertical="center"/>
    </xf>
    <xf numFmtId="49" fontId="20" fillId="8" borderId="20" xfId="0" applyNumberFormat="1" applyFont="1" applyFill="1" applyBorder="1" applyAlignment="1">
      <alignment horizontal="center" vertical="center"/>
    </xf>
    <xf numFmtId="2" fontId="1" fillId="35" borderId="18" xfId="0" applyNumberFormat="1" applyFont="1" applyFill="1" applyBorder="1" applyAlignment="1">
      <alignment horizontal="center" vertical="center"/>
    </xf>
  </cellXfs>
  <cellStyles count="3">
    <cellStyle name="TableStyleLight1 2" xfId="1" xr:uid="{816D317E-FDDD-4879-A198-1F18AFD7F9A5}"/>
    <cellStyle name="Обычный" xfId="0" builtinId="0"/>
    <cellStyle name="Обычный_Лист1" xfId="2" xr:uid="{F47674ED-B32E-46FB-8195-7710A590B3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2601-69C3-48B1-99EC-CFB33AF12CD2}">
  <dimension ref="A1:AH253"/>
  <sheetViews>
    <sheetView tabSelected="1" topLeftCell="A63" zoomScale="60" zoomScaleNormal="60" workbookViewId="0">
      <selection activeCell="I7" sqref="I7"/>
    </sheetView>
  </sheetViews>
  <sheetFormatPr defaultRowHeight="14.4" x14ac:dyDescent="0.3"/>
  <cols>
    <col min="1" max="1" width="26.109375" customWidth="1"/>
  </cols>
  <sheetData>
    <row r="1" spans="1:34" ht="18" thickBot="1" x14ac:dyDescent="0.35">
      <c r="A1" s="1"/>
      <c r="B1" s="2"/>
      <c r="C1" s="3" t="str">
        <f>CONCATENATE("График ",$AI$1," ",AI2)</f>
        <v xml:space="preserve">График  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  <c r="AH1" s="5" t="s">
        <v>0</v>
      </c>
    </row>
    <row r="2" spans="1:34" ht="18.600000000000001" thickBot="1" x14ac:dyDescent="0.35">
      <c r="A2" s="6"/>
      <c r="B2" s="2"/>
      <c r="C2" s="7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7">
        <v>7</v>
      </c>
      <c r="J2" s="7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7">
        <v>14</v>
      </c>
      <c r="Q2" s="7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7">
        <v>21</v>
      </c>
      <c r="X2" s="7">
        <v>22</v>
      </c>
      <c r="Y2" s="9">
        <v>23</v>
      </c>
      <c r="Z2" s="8">
        <v>24</v>
      </c>
      <c r="AA2" s="8">
        <v>25</v>
      </c>
      <c r="AB2" s="8">
        <v>26</v>
      </c>
      <c r="AC2" s="8">
        <v>27</v>
      </c>
      <c r="AD2" s="7">
        <v>28</v>
      </c>
      <c r="AE2" s="10">
        <v>29</v>
      </c>
      <c r="AF2" s="10">
        <v>30</v>
      </c>
      <c r="AG2" s="10">
        <v>31</v>
      </c>
      <c r="AH2" s="11"/>
    </row>
    <row r="3" spans="1:34" ht="32.4" thickBot="1" x14ac:dyDescent="0.35">
      <c r="A3" s="12"/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 t="s">
        <v>1</v>
      </c>
      <c r="R3" s="14"/>
      <c r="S3" s="16" t="s">
        <v>2</v>
      </c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7"/>
      <c r="AH3" s="18"/>
    </row>
    <row r="4" spans="1:34" ht="33.6" x14ac:dyDescent="0.3">
      <c r="A4" s="19" t="s">
        <v>3</v>
      </c>
      <c r="B4" s="20" t="s">
        <v>2</v>
      </c>
      <c r="C4" s="21"/>
      <c r="D4" s="21"/>
      <c r="E4" s="21" t="s">
        <v>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2"/>
      <c r="AF4" s="22"/>
      <c r="AG4" s="23"/>
      <c r="AH4" s="24">
        <f>COUNTIF(C4:AG4,"Д")+COUNTIF(C4:AG4,"Н")+COUNTIF(C4:AG4,"ПД")+COUNTIF(C4:AG4,"ПН")+COUNTIF(C4:AG4,"Д/8")</f>
        <v>0</v>
      </c>
    </row>
    <row r="5" spans="1:34" ht="17.399999999999999" x14ac:dyDescent="0.3">
      <c r="A5" s="25"/>
      <c r="B5" s="26" t="e">
        <f>AVERAGE(C5:AG5)</f>
        <v>#DIV/0!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2"/>
      <c r="AF5" s="22"/>
      <c r="AG5" s="23"/>
      <c r="AH5" s="27"/>
    </row>
    <row r="6" spans="1:34" ht="17.399999999999999" x14ac:dyDescent="0.3">
      <c r="A6" s="28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1"/>
      <c r="Z6" s="30"/>
      <c r="AA6" s="32"/>
      <c r="AB6" s="32"/>
      <c r="AC6" s="32"/>
      <c r="AD6" s="32"/>
      <c r="AE6" s="33"/>
      <c r="AF6" s="33"/>
      <c r="AG6" s="23"/>
      <c r="AH6" s="34"/>
    </row>
    <row r="7" spans="1:34" ht="50.4" x14ac:dyDescent="0.3">
      <c r="A7" s="35" t="s">
        <v>5</v>
      </c>
      <c r="B7" s="36"/>
      <c r="C7" s="30"/>
      <c r="D7" s="30"/>
      <c r="E7" s="30"/>
      <c r="F7" s="30"/>
      <c r="G7" s="30" t="s">
        <v>6</v>
      </c>
      <c r="H7" s="30" t="s">
        <v>6</v>
      </c>
      <c r="I7" s="30" t="s">
        <v>7</v>
      </c>
      <c r="J7" s="30" t="s">
        <v>7</v>
      </c>
      <c r="K7" s="30"/>
      <c r="L7" s="30"/>
      <c r="M7" s="30"/>
      <c r="N7" s="37" t="s">
        <v>6</v>
      </c>
      <c r="O7" s="30" t="s">
        <v>6</v>
      </c>
      <c r="P7" s="30" t="s">
        <v>6</v>
      </c>
      <c r="Q7" s="30" t="s">
        <v>7</v>
      </c>
      <c r="R7" s="30" t="s">
        <v>7</v>
      </c>
      <c r="S7" s="30"/>
      <c r="T7" s="30"/>
      <c r="U7" s="30"/>
      <c r="V7" s="30" t="s">
        <v>6</v>
      </c>
      <c r="W7" s="30" t="s">
        <v>6</v>
      </c>
      <c r="X7" s="30" t="s">
        <v>6</v>
      </c>
      <c r="Y7" s="31" t="s">
        <v>7</v>
      </c>
      <c r="Z7" s="30" t="s">
        <v>7</v>
      </c>
      <c r="AA7" s="37" t="s">
        <v>7</v>
      </c>
      <c r="AB7" s="38"/>
      <c r="AC7" s="38"/>
      <c r="AD7" s="38"/>
      <c r="AE7" s="22"/>
      <c r="AF7" s="22"/>
      <c r="AG7" s="23"/>
      <c r="AH7" s="39">
        <f>COUNTIF(C7:AG7,"Д")+COUNTIF(C7:AG7,"Н")+COUNTIF(C7:AG7,"ПД")+COUNTIF(C7:AG7,"ПН")+COUNTIF(C7:AG7,"Д/8")</f>
        <v>15</v>
      </c>
    </row>
    <row r="8" spans="1:34" ht="17.399999999999999" x14ac:dyDescent="0.3">
      <c r="A8" s="35"/>
      <c r="B8" s="40" t="e">
        <f>AVERAGE(C8:AG8)</f>
        <v>#DIV/0!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1"/>
      <c r="Z8" s="30"/>
      <c r="AA8" s="30"/>
      <c r="AB8" s="30"/>
      <c r="AC8" s="30"/>
      <c r="AD8" s="30"/>
      <c r="AE8" s="22"/>
      <c r="AF8" s="22"/>
      <c r="AG8" s="23"/>
      <c r="AH8" s="41"/>
    </row>
    <row r="9" spans="1:34" ht="17.399999999999999" x14ac:dyDescent="0.3">
      <c r="A9" s="42"/>
      <c r="B9" s="29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1"/>
      <c r="Z9" s="30"/>
      <c r="AA9" s="32"/>
      <c r="AB9" s="32"/>
      <c r="AC9" s="32"/>
      <c r="AD9" s="32"/>
      <c r="AE9" s="22"/>
      <c r="AF9" s="22"/>
      <c r="AG9" s="23"/>
      <c r="AH9" s="34"/>
    </row>
    <row r="10" spans="1:34" ht="50.4" x14ac:dyDescent="0.3">
      <c r="A10" s="43" t="s">
        <v>8</v>
      </c>
      <c r="B10" s="44" t="s">
        <v>2</v>
      </c>
      <c r="C10" s="30" t="s">
        <v>6</v>
      </c>
      <c r="D10" s="30" t="s">
        <v>6</v>
      </c>
      <c r="E10" s="30" t="s">
        <v>7</v>
      </c>
      <c r="F10" s="30" t="s">
        <v>7</v>
      </c>
      <c r="G10" s="30"/>
      <c r="H10" s="30"/>
      <c r="I10" s="30"/>
      <c r="J10" s="30"/>
      <c r="K10" s="30" t="s">
        <v>6</v>
      </c>
      <c r="L10" s="30" t="s">
        <v>6</v>
      </c>
      <c r="M10" s="30" t="s">
        <v>7</v>
      </c>
      <c r="N10" s="30" t="s">
        <v>7</v>
      </c>
      <c r="O10" s="30"/>
      <c r="P10" s="30"/>
      <c r="Q10" s="30"/>
      <c r="R10" s="30"/>
      <c r="S10" s="30" t="s">
        <v>6</v>
      </c>
      <c r="T10" s="30" t="s">
        <v>6</v>
      </c>
      <c r="U10" s="30" t="s">
        <v>7</v>
      </c>
      <c r="V10" s="30" t="s">
        <v>7</v>
      </c>
      <c r="W10" s="30"/>
      <c r="X10" s="30"/>
      <c r="Y10" s="31"/>
      <c r="Z10" s="30"/>
      <c r="AA10" s="30" t="s">
        <v>6</v>
      </c>
      <c r="AB10" s="30" t="s">
        <v>6</v>
      </c>
      <c r="AC10" s="30"/>
      <c r="AD10" s="30" t="s">
        <v>7</v>
      </c>
      <c r="AE10" s="33"/>
      <c r="AF10" s="33"/>
      <c r="AG10" s="23"/>
      <c r="AH10" s="39">
        <f>COUNTIF(C10:AG10,"Д")+COUNTIF(C10:AG10,"Н")+COUNTIF(C10:AG10,"ПД")+COUNTIF(C10:AG10,"ПН")+COUNTIF(C10:AG10,"Д/8")</f>
        <v>15</v>
      </c>
    </row>
    <row r="11" spans="1:34" ht="17.399999999999999" x14ac:dyDescent="0.3">
      <c r="A11" s="43"/>
      <c r="B11" s="26" t="e">
        <f>AVERAGE(C11:AG11)</f>
        <v>#DIV/0!</v>
      </c>
      <c r="C11" s="30"/>
      <c r="D11" s="30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6"/>
      <c r="Z11" s="45"/>
      <c r="AA11" s="47"/>
      <c r="AB11" s="47"/>
      <c r="AC11" s="47"/>
      <c r="AD11" s="47"/>
      <c r="AE11" s="22"/>
      <c r="AF11" s="22"/>
      <c r="AG11" s="23"/>
      <c r="AH11" s="41"/>
    </row>
    <row r="12" spans="1:34" ht="18" thickBot="1" x14ac:dyDescent="0.35">
      <c r="A12" s="48"/>
      <c r="B12" s="29"/>
      <c r="C12" s="30"/>
      <c r="D12" s="30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6"/>
      <c r="Z12" s="45"/>
      <c r="AA12" s="49"/>
      <c r="AB12" s="49"/>
      <c r="AC12" s="49"/>
      <c r="AD12" s="49"/>
      <c r="AE12" s="22"/>
      <c r="AF12" s="22"/>
      <c r="AG12" s="23"/>
      <c r="AH12" s="34"/>
    </row>
    <row r="13" spans="1:34" ht="51" thickBot="1" x14ac:dyDescent="0.35">
      <c r="A13" s="43" t="s">
        <v>9</v>
      </c>
      <c r="B13" s="50" t="s">
        <v>2</v>
      </c>
      <c r="C13" s="30"/>
      <c r="D13" s="30"/>
      <c r="E13" s="45" t="s">
        <v>6</v>
      </c>
      <c r="F13" s="45" t="s">
        <v>6</v>
      </c>
      <c r="G13" s="45" t="s">
        <v>7</v>
      </c>
      <c r="H13" s="45" t="s">
        <v>7</v>
      </c>
      <c r="I13" s="45"/>
      <c r="J13" s="45"/>
      <c r="K13" s="45"/>
      <c r="L13" s="45"/>
      <c r="M13" s="45" t="s">
        <v>6</v>
      </c>
      <c r="N13" s="45" t="s">
        <v>6</v>
      </c>
      <c r="O13" s="45" t="s">
        <v>7</v>
      </c>
      <c r="P13" s="45" t="s">
        <v>7</v>
      </c>
      <c r="Q13" s="45"/>
      <c r="R13" s="45"/>
      <c r="S13" s="45"/>
      <c r="T13" s="45"/>
      <c r="U13" s="45" t="s">
        <v>6</v>
      </c>
      <c r="V13" s="45"/>
      <c r="W13" s="45" t="s">
        <v>7</v>
      </c>
      <c r="X13" s="45" t="s">
        <v>7</v>
      </c>
      <c r="Y13" s="46"/>
      <c r="Z13" s="45"/>
      <c r="AA13" s="47"/>
      <c r="AB13" s="47"/>
      <c r="AC13" s="45" t="s">
        <v>6</v>
      </c>
      <c r="AD13" s="45" t="s">
        <v>6</v>
      </c>
      <c r="AE13" s="22"/>
      <c r="AF13" s="22"/>
      <c r="AG13" s="22"/>
      <c r="AH13" s="51">
        <f>COUNTIF(C13:AG13,"Д")+COUNTIF(C13:AG13,"Н")+COUNTIF(C13:AG13,"ПД")+COUNTIF(C13:AG13,"ПН")+COUNTIF(C13:AG13,"Д/8")</f>
        <v>13</v>
      </c>
    </row>
    <row r="14" spans="1:34" ht="17.399999999999999" x14ac:dyDescent="0.3">
      <c r="A14" s="52"/>
      <c r="B14" s="53" t="e">
        <f>AVERAGE(C14:AG14)</f>
        <v>#DIV/0!</v>
      </c>
      <c r="C14" s="30"/>
      <c r="D14" s="30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6"/>
      <c r="Z14" s="45"/>
      <c r="AA14" s="47"/>
      <c r="AB14" s="47"/>
      <c r="AC14" s="45"/>
      <c r="AD14" s="45"/>
      <c r="AE14" s="22"/>
      <c r="AF14" s="22"/>
      <c r="AG14" s="22"/>
      <c r="AH14" s="27"/>
    </row>
    <row r="15" spans="1:34" ht="17.399999999999999" x14ac:dyDescent="0.3">
      <c r="A15" s="48"/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1"/>
      <c r="Z15" s="30"/>
      <c r="AA15" s="32"/>
      <c r="AB15" s="32"/>
      <c r="AC15" s="32"/>
      <c r="AD15" s="32"/>
      <c r="AE15" s="22"/>
      <c r="AF15" s="22"/>
      <c r="AG15" s="22"/>
      <c r="AH15" s="34"/>
    </row>
    <row r="16" spans="1:34" ht="33.6" x14ac:dyDescent="0.3">
      <c r="A16" s="54" t="s">
        <v>10</v>
      </c>
      <c r="B16" s="44" t="s">
        <v>2</v>
      </c>
      <c r="C16" s="30" t="s">
        <v>7</v>
      </c>
      <c r="D16" s="30" t="s">
        <v>7</v>
      </c>
      <c r="E16" s="30"/>
      <c r="F16" s="30"/>
      <c r="G16" s="30"/>
      <c r="H16" s="30"/>
      <c r="I16" s="30" t="s">
        <v>6</v>
      </c>
      <c r="J16" s="30" t="s">
        <v>6</v>
      </c>
      <c r="K16" s="30" t="s">
        <v>7</v>
      </c>
      <c r="L16" s="30" t="s">
        <v>7</v>
      </c>
      <c r="M16" s="30"/>
      <c r="N16" s="30"/>
      <c r="O16" s="30"/>
      <c r="P16" s="30"/>
      <c r="Q16" s="30" t="s">
        <v>6</v>
      </c>
      <c r="R16" s="30" t="s">
        <v>6</v>
      </c>
      <c r="S16" s="30" t="s">
        <v>7</v>
      </c>
      <c r="T16" s="30" t="s">
        <v>7</v>
      </c>
      <c r="U16" s="30"/>
      <c r="V16" s="30"/>
      <c r="W16" s="30"/>
      <c r="X16" s="30"/>
      <c r="Y16" s="31" t="s">
        <v>6</v>
      </c>
      <c r="Z16" s="30" t="s">
        <v>6</v>
      </c>
      <c r="AA16" s="30" t="s">
        <v>7</v>
      </c>
      <c r="AB16" s="30" t="s">
        <v>7</v>
      </c>
      <c r="AC16" s="38" t="s">
        <v>7</v>
      </c>
      <c r="AD16" s="38"/>
      <c r="AE16" s="33"/>
      <c r="AF16" s="33"/>
      <c r="AG16" s="22"/>
      <c r="AH16" s="39">
        <f>COUNTIF(C16:AG16,"Д")+COUNTIF(C16:AG16,"Н")+COUNTIF(C16:AG16,"ПД")+COUNTIF(C16:AG16,"ПН")+COUNTIF(C16:AG16,"Д/8")</f>
        <v>15</v>
      </c>
    </row>
    <row r="17" spans="1:34" ht="17.399999999999999" x14ac:dyDescent="0.3">
      <c r="A17" s="55"/>
      <c r="B17" s="26" t="e">
        <f>AVERAGE(D17:AG17)</f>
        <v>#DIV/0!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1"/>
      <c r="Z17" s="30"/>
      <c r="AA17" s="38"/>
      <c r="AB17" s="38"/>
      <c r="AC17" s="38"/>
      <c r="AD17" s="38"/>
      <c r="AE17" s="22"/>
      <c r="AF17" s="22"/>
      <c r="AG17" s="22"/>
      <c r="AH17" s="27"/>
    </row>
    <row r="18" spans="1:34" ht="18" thickBot="1" x14ac:dyDescent="0.35">
      <c r="A18" s="56"/>
      <c r="B18" s="57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6"/>
      <c r="Z18" s="45"/>
      <c r="AA18" s="58"/>
      <c r="AB18" s="58"/>
      <c r="AC18" s="58"/>
      <c r="AD18" s="58"/>
      <c r="AE18" s="22"/>
      <c r="AF18" s="22"/>
      <c r="AG18" s="22"/>
      <c r="AH18" s="34"/>
    </row>
    <row r="19" spans="1:34" ht="67.8" thickBot="1" x14ac:dyDescent="0.35">
      <c r="A19" s="59" t="s">
        <v>11</v>
      </c>
      <c r="B19" s="60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3"/>
    </row>
    <row r="20" spans="1:34" ht="18" thickBot="1" x14ac:dyDescent="0.35">
      <c r="A20" s="12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 t="s">
        <v>12</v>
      </c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7"/>
      <c r="AH20" s="64"/>
    </row>
    <row r="21" spans="1:34" ht="50.4" x14ac:dyDescent="0.3">
      <c r="A21" s="54" t="s">
        <v>13</v>
      </c>
      <c r="B21" s="65"/>
      <c r="C21" s="45" t="s">
        <v>7</v>
      </c>
      <c r="D21" s="45" t="s">
        <v>7</v>
      </c>
      <c r="E21" s="45"/>
      <c r="F21" s="45"/>
      <c r="G21" s="45"/>
      <c r="H21" s="45" t="s">
        <v>6</v>
      </c>
      <c r="I21" s="45" t="s">
        <v>6</v>
      </c>
      <c r="J21" s="45" t="s">
        <v>6</v>
      </c>
      <c r="K21" s="45" t="s">
        <v>7</v>
      </c>
      <c r="L21" s="45" t="s">
        <v>7</v>
      </c>
      <c r="M21" s="46" t="s">
        <v>14</v>
      </c>
      <c r="N21" s="45"/>
      <c r="O21" s="45"/>
      <c r="P21" s="66" t="s">
        <v>15</v>
      </c>
      <c r="Q21" s="66" t="s">
        <v>15</v>
      </c>
      <c r="R21" s="66" t="s">
        <v>15</v>
      </c>
      <c r="S21" s="66" t="s">
        <v>15</v>
      </c>
      <c r="T21" s="66" t="s">
        <v>15</v>
      </c>
      <c r="U21" s="66" t="s">
        <v>15</v>
      </c>
      <c r="V21" s="66" t="s">
        <v>15</v>
      </c>
      <c r="W21" s="66" t="s">
        <v>15</v>
      </c>
      <c r="X21" s="66" t="s">
        <v>15</v>
      </c>
      <c r="Y21" s="66"/>
      <c r="Z21" s="66" t="s">
        <v>15</v>
      </c>
      <c r="AA21" s="66" t="s">
        <v>15</v>
      </c>
      <c r="AB21" s="66" t="s">
        <v>15</v>
      </c>
      <c r="AC21" s="66" t="s">
        <v>15</v>
      </c>
      <c r="AD21" s="66" t="s">
        <v>15</v>
      </c>
      <c r="AE21" s="22"/>
      <c r="AF21" s="22"/>
      <c r="AG21" s="23"/>
      <c r="AH21" s="67">
        <f>COUNTIF(C21:AG21,"Д")+COUNTIF(C21:AG21,"Н")+COUNTIF(C21:AG21,"ПД")+COUNTIF(C21:AG21,"ПН")+COUNTIF(C21:AG21,"Д/8")</f>
        <v>8</v>
      </c>
    </row>
    <row r="22" spans="1:34" ht="17.399999999999999" x14ac:dyDescent="0.3">
      <c r="A22" s="43"/>
      <c r="B22" s="26" t="e">
        <f>AVERAGE(C22:AG22)</f>
        <v>#DIV/0!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6"/>
      <c r="Z22" s="45"/>
      <c r="AA22" s="47"/>
      <c r="AB22" s="47"/>
      <c r="AC22" s="47"/>
      <c r="AD22" s="47"/>
      <c r="AE22" s="22"/>
      <c r="AF22" s="22"/>
      <c r="AG22" s="23"/>
      <c r="AH22" s="64"/>
    </row>
    <row r="23" spans="1:34" ht="17.399999999999999" x14ac:dyDescent="0.3">
      <c r="A23" s="48"/>
      <c r="B23" s="29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6"/>
      <c r="Z23" s="45"/>
      <c r="AA23" s="68"/>
      <c r="AB23" s="68"/>
      <c r="AC23" s="68"/>
      <c r="AD23" s="68"/>
      <c r="AE23" s="33"/>
      <c r="AF23" s="33"/>
      <c r="AG23" s="23"/>
      <c r="AH23" s="34"/>
    </row>
    <row r="24" spans="1:34" ht="50.4" x14ac:dyDescent="0.3">
      <c r="A24" s="69" t="s">
        <v>16</v>
      </c>
      <c r="B24" s="70"/>
      <c r="C24" s="71" t="s">
        <v>7</v>
      </c>
      <c r="D24" s="71"/>
      <c r="E24" s="71"/>
      <c r="F24" s="71"/>
      <c r="G24" s="71"/>
      <c r="H24" s="71" t="s">
        <v>6</v>
      </c>
      <c r="I24" s="71" t="s">
        <v>6</v>
      </c>
      <c r="J24" s="71" t="s">
        <v>6</v>
      </c>
      <c r="K24" s="71" t="s">
        <v>7</v>
      </c>
      <c r="L24" s="71" t="s">
        <v>7</v>
      </c>
      <c r="M24" s="71"/>
      <c r="N24" s="71"/>
      <c r="O24" s="71"/>
      <c r="P24" s="71" t="s">
        <v>6</v>
      </c>
      <c r="Q24" s="71" t="s">
        <v>7</v>
      </c>
      <c r="R24" s="71" t="s">
        <v>7</v>
      </c>
      <c r="S24" s="71"/>
      <c r="T24" s="71"/>
      <c r="U24" s="71"/>
      <c r="V24" s="71"/>
      <c r="W24" s="71" t="s">
        <v>6</v>
      </c>
      <c r="X24" s="71" t="s">
        <v>6</v>
      </c>
      <c r="Y24" s="46" t="s">
        <v>6</v>
      </c>
      <c r="Z24" s="71" t="s">
        <v>7</v>
      </c>
      <c r="AA24" s="71"/>
      <c r="AB24" s="71"/>
      <c r="AC24" s="71"/>
      <c r="AD24" s="71"/>
      <c r="AE24" s="22"/>
      <c r="AF24" s="22"/>
      <c r="AG24" s="23"/>
      <c r="AH24" s="67">
        <f>COUNTIF(C24:AG24,"Д")+COUNTIF(C24:AG24,"Н")+COUNTIF(C24:AG24,"ПД")+COUNTIF(C24:AG24,"ПН")+COUNTIF(C24:AG24,"Д/8")</f>
        <v>13</v>
      </c>
    </row>
    <row r="25" spans="1:34" ht="50.4" x14ac:dyDescent="0.3">
      <c r="A25" s="72" t="s">
        <v>17</v>
      </c>
      <c r="B25" s="73" t="e">
        <f>AVERAGE(C25:AG25)</f>
        <v>#DIV/0!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74"/>
      <c r="W25" s="45"/>
      <c r="X25" s="45"/>
      <c r="Y25" s="46"/>
      <c r="Z25" s="45"/>
      <c r="AA25" s="47"/>
      <c r="AB25" s="47"/>
      <c r="AC25" s="47"/>
      <c r="AD25" s="47"/>
      <c r="AE25" s="22"/>
      <c r="AF25" s="22"/>
      <c r="AG25" s="23"/>
      <c r="AH25" s="64"/>
    </row>
    <row r="26" spans="1:34" ht="17.399999999999999" x14ac:dyDescent="0.3">
      <c r="A26" s="48"/>
      <c r="B26" s="29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6"/>
      <c r="Z26" s="45"/>
      <c r="AA26" s="68"/>
      <c r="AB26" s="68"/>
      <c r="AC26" s="68"/>
      <c r="AD26" s="68"/>
      <c r="AE26" s="22"/>
      <c r="AF26" s="22"/>
      <c r="AG26" s="23"/>
      <c r="AH26" s="34"/>
    </row>
    <row r="27" spans="1:34" ht="50.4" x14ac:dyDescent="0.3">
      <c r="A27" s="75" t="s">
        <v>18</v>
      </c>
      <c r="B27" s="76" t="s">
        <v>2</v>
      </c>
      <c r="C27" s="77"/>
      <c r="D27" s="77"/>
      <c r="E27" s="77" t="s">
        <v>7</v>
      </c>
      <c r="F27" s="77" t="s">
        <v>7</v>
      </c>
      <c r="G27" s="77" t="s">
        <v>7</v>
      </c>
      <c r="H27" s="77"/>
      <c r="I27" s="77"/>
      <c r="J27" s="77"/>
      <c r="K27" s="77"/>
      <c r="L27" s="77" t="s">
        <v>6</v>
      </c>
      <c r="M27" s="77" t="s">
        <v>6</v>
      </c>
      <c r="N27" s="77" t="s">
        <v>7</v>
      </c>
      <c r="O27" s="77" t="s">
        <v>7</v>
      </c>
      <c r="P27" s="77" t="s">
        <v>7</v>
      </c>
      <c r="Q27" s="77"/>
      <c r="R27" s="77"/>
      <c r="S27" s="77"/>
      <c r="T27" s="77"/>
      <c r="U27" s="77" t="s">
        <v>6</v>
      </c>
      <c r="V27" s="77" t="s">
        <v>6</v>
      </c>
      <c r="W27" s="77" t="s">
        <v>7</v>
      </c>
      <c r="X27" s="77" t="s">
        <v>7</v>
      </c>
      <c r="Y27" s="46"/>
      <c r="Z27" s="77"/>
      <c r="AA27" s="77"/>
      <c r="AB27" s="77"/>
      <c r="AC27" s="77"/>
      <c r="AD27" s="77" t="s">
        <v>6</v>
      </c>
      <c r="AE27" s="22"/>
      <c r="AF27" s="22"/>
      <c r="AG27" s="22"/>
      <c r="AH27" s="78">
        <f>COUNTIF(C27:AG27,"Д")+COUNTIF(C27:AG27,"Н")+COUNTIF(C27:AG27,"ПД")+COUNTIF(C27:AG27,"ПН")+COUNTIF(C27:AG27,"Д/8")</f>
        <v>13</v>
      </c>
    </row>
    <row r="28" spans="1:34" ht="17.399999999999999" x14ac:dyDescent="0.3">
      <c r="A28" s="79"/>
      <c r="B28" s="26" t="e">
        <f>AVERAGE(C28:AG28)</f>
        <v>#DIV/0!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6"/>
      <c r="Z28" s="45"/>
      <c r="AA28" s="45"/>
      <c r="AB28" s="45"/>
      <c r="AC28" s="45"/>
      <c r="AD28" s="45"/>
      <c r="AE28" s="22"/>
      <c r="AF28" s="22"/>
      <c r="AG28" s="22"/>
      <c r="AH28" s="80"/>
    </row>
    <row r="29" spans="1:34" ht="17.399999999999999" x14ac:dyDescent="0.3">
      <c r="A29" s="81"/>
      <c r="B29" s="29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46"/>
      <c r="Z29" s="74"/>
      <c r="AA29" s="68"/>
      <c r="AB29" s="68"/>
      <c r="AC29" s="68"/>
      <c r="AD29" s="68"/>
      <c r="AE29" s="22"/>
      <c r="AF29" s="22"/>
      <c r="AG29" s="22"/>
      <c r="AH29" s="82"/>
    </row>
    <row r="30" spans="1:34" ht="50.4" x14ac:dyDescent="0.3">
      <c r="A30" s="54" t="s">
        <v>19</v>
      </c>
      <c r="B30" s="44"/>
      <c r="C30" s="83"/>
      <c r="D30" s="83"/>
      <c r="E30" s="83"/>
      <c r="F30" s="83" t="s">
        <v>6</v>
      </c>
      <c r="G30" s="83" t="s">
        <v>6</v>
      </c>
      <c r="H30" s="83" t="s">
        <v>7</v>
      </c>
      <c r="I30" s="83" t="s">
        <v>7</v>
      </c>
      <c r="J30" s="83"/>
      <c r="K30" s="83"/>
      <c r="L30" s="83"/>
      <c r="M30" s="83"/>
      <c r="N30" s="83" t="s">
        <v>6</v>
      </c>
      <c r="O30" s="83" t="s">
        <v>6</v>
      </c>
      <c r="P30" s="83" t="s">
        <v>7</v>
      </c>
      <c r="Q30" s="83" t="s">
        <v>7</v>
      </c>
      <c r="R30" s="83"/>
      <c r="S30" s="83"/>
      <c r="T30" s="83"/>
      <c r="U30" s="83"/>
      <c r="V30" s="83" t="s">
        <v>6</v>
      </c>
      <c r="W30" s="83" t="s">
        <v>6</v>
      </c>
      <c r="X30" s="83" t="s">
        <v>7</v>
      </c>
      <c r="Y30" s="83" t="s">
        <v>7</v>
      </c>
      <c r="Z30" s="83"/>
      <c r="AA30" s="83"/>
      <c r="AB30" s="83"/>
      <c r="AC30" s="83"/>
      <c r="AD30" s="83" t="s">
        <v>6</v>
      </c>
      <c r="AE30" s="22"/>
      <c r="AF30" s="22"/>
      <c r="AG30" s="23"/>
      <c r="AH30" s="39">
        <f>COUNTIF(C30:AG30,"Д")+COUNTIF(C30:AG30,"Н")+COUNTIF(C30:AG30,"ПД")+COUNTIF(C30:AG30,"ПН")+COUNTIF(C30:AG30,"Д/8")</f>
        <v>13</v>
      </c>
    </row>
    <row r="31" spans="1:34" ht="17.399999999999999" x14ac:dyDescent="0.3">
      <c r="A31" s="52"/>
      <c r="B31" s="26" t="e">
        <f>AVERAGE(C31:AG31)</f>
        <v>#DIV/0!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6"/>
      <c r="Z31" s="45"/>
      <c r="AA31" s="47"/>
      <c r="AB31" s="47"/>
      <c r="AC31" s="47"/>
      <c r="AD31" s="47"/>
      <c r="AE31" s="22"/>
      <c r="AF31" s="22"/>
      <c r="AG31" s="23"/>
      <c r="AH31" s="64"/>
    </row>
    <row r="32" spans="1:34" ht="17.399999999999999" x14ac:dyDescent="0.3">
      <c r="A32" s="48"/>
      <c r="B32" s="29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6"/>
      <c r="Z32" s="45"/>
      <c r="AA32" s="68"/>
      <c r="AB32" s="68"/>
      <c r="AC32" s="68"/>
      <c r="AD32" s="68"/>
      <c r="AE32" s="22"/>
      <c r="AF32" s="22"/>
      <c r="AG32" s="23"/>
      <c r="AH32" s="34"/>
    </row>
    <row r="33" spans="1:34" ht="33.6" x14ac:dyDescent="0.3">
      <c r="A33" s="54" t="s">
        <v>20</v>
      </c>
      <c r="B33" s="84"/>
      <c r="C33" s="45"/>
      <c r="D33" s="47"/>
      <c r="E33" s="45" t="s">
        <v>6</v>
      </c>
      <c r="F33" s="45" t="s">
        <v>6</v>
      </c>
      <c r="G33" s="45" t="s">
        <v>6</v>
      </c>
      <c r="H33" s="45" t="s">
        <v>7</v>
      </c>
      <c r="I33" s="45" t="s">
        <v>7</v>
      </c>
      <c r="J33" s="45" t="s">
        <v>7</v>
      </c>
      <c r="K33" s="45"/>
      <c r="L33" s="47"/>
      <c r="M33" s="47"/>
      <c r="N33" s="47"/>
      <c r="O33" s="47" t="s">
        <v>6</v>
      </c>
      <c r="P33" s="47" t="s">
        <v>6</v>
      </c>
      <c r="Q33" s="46" t="s">
        <v>14</v>
      </c>
      <c r="R33" s="47" t="s">
        <v>7</v>
      </c>
      <c r="S33" s="45" t="s">
        <v>7</v>
      </c>
      <c r="T33" s="47"/>
      <c r="U33" s="45"/>
      <c r="V33" s="47"/>
      <c r="W33" s="45" t="s">
        <v>6</v>
      </c>
      <c r="X33" s="47" t="s">
        <v>6</v>
      </c>
      <c r="Y33" s="46" t="s">
        <v>6</v>
      </c>
      <c r="Z33" s="47" t="s">
        <v>7</v>
      </c>
      <c r="AA33" s="47"/>
      <c r="AB33" s="46" t="s">
        <v>14</v>
      </c>
      <c r="AC33" s="47"/>
      <c r="AD33" s="47"/>
      <c r="AE33" s="22"/>
      <c r="AF33" s="22"/>
      <c r="AG33" s="23"/>
      <c r="AH33" s="51">
        <f>COUNTIF(C33:AG33,"Д")+COUNTIF(C33:AG33,"Н")+COUNTIF(C33:AG33,"ПД")+COUNTIF(C33:AG33,"ПН")+COUNTIF(C33:AG33,"Д/8")</f>
        <v>16</v>
      </c>
    </row>
    <row r="34" spans="1:34" ht="17.399999999999999" x14ac:dyDescent="0.3">
      <c r="A34" s="52"/>
      <c r="B34" s="26" t="e">
        <f>AVERAGE(C34:AG34)</f>
        <v>#DIV/0!</v>
      </c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6"/>
      <c r="Z34" s="45"/>
      <c r="AA34" s="47"/>
      <c r="AB34" s="47"/>
      <c r="AC34" s="47"/>
      <c r="AD34" s="47"/>
      <c r="AE34" s="22"/>
      <c r="AF34" s="22"/>
      <c r="AG34" s="22"/>
      <c r="AH34" s="64"/>
    </row>
    <row r="35" spans="1:34" ht="17.399999999999999" x14ac:dyDescent="0.3">
      <c r="A35" s="48"/>
      <c r="B35" s="57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6"/>
      <c r="Z35" s="45"/>
      <c r="AA35" s="68"/>
      <c r="AB35" s="68"/>
      <c r="AC35" s="68"/>
      <c r="AD35" s="68"/>
      <c r="AE35" s="22"/>
      <c r="AF35" s="22"/>
      <c r="AG35" s="22"/>
      <c r="AH35" s="34"/>
    </row>
    <row r="36" spans="1:34" ht="50.4" x14ac:dyDescent="0.3">
      <c r="A36" s="43" t="s">
        <v>21</v>
      </c>
      <c r="B36" s="85"/>
      <c r="C36" s="45" t="s">
        <v>6</v>
      </c>
      <c r="D36" s="45" t="s">
        <v>6</v>
      </c>
      <c r="E36" s="45" t="s">
        <v>7</v>
      </c>
      <c r="F36" s="45" t="s">
        <v>7</v>
      </c>
      <c r="G36" s="45" t="s">
        <v>7</v>
      </c>
      <c r="H36" s="45"/>
      <c r="I36" s="45"/>
      <c r="J36" s="45"/>
      <c r="K36" s="45"/>
      <c r="L36" s="46" t="s">
        <v>22</v>
      </c>
      <c r="M36" s="45" t="s">
        <v>6</v>
      </c>
      <c r="N36" s="45" t="s">
        <v>7</v>
      </c>
      <c r="O36" s="45" t="s">
        <v>7</v>
      </c>
      <c r="P36" s="45" t="s">
        <v>7</v>
      </c>
      <c r="Q36" s="45"/>
      <c r="R36" s="45"/>
      <c r="S36" s="45"/>
      <c r="T36" s="45" t="s">
        <v>6</v>
      </c>
      <c r="U36" s="46" t="s">
        <v>22</v>
      </c>
      <c r="V36" s="45" t="s">
        <v>6</v>
      </c>
      <c r="W36" s="45" t="s">
        <v>7</v>
      </c>
      <c r="X36" s="45" t="s">
        <v>7</v>
      </c>
      <c r="Y36" s="46" t="s">
        <v>7</v>
      </c>
      <c r="Z36" s="45"/>
      <c r="AA36" s="45"/>
      <c r="AB36" s="45"/>
      <c r="AC36" s="45" t="s">
        <v>6</v>
      </c>
      <c r="AD36" s="46" t="s">
        <v>22</v>
      </c>
      <c r="AE36" s="22"/>
      <c r="AF36" s="22"/>
      <c r="AG36" s="22"/>
      <c r="AH36" s="86">
        <f>COUNTIF(C36:AG36,"Д")+COUNTIF(C36:AG36,"Н")+COUNTIF(C36:AG36,"ПД")+COUNTIF(C36:AG36,"ПН")+COUNTIF(C36:AG36,"Д/8")</f>
        <v>18</v>
      </c>
    </row>
    <row r="37" spans="1:34" ht="17.399999999999999" x14ac:dyDescent="0.3">
      <c r="A37" s="52"/>
      <c r="B37" s="26" t="e">
        <f>AVERAGE(C37:AG37)</f>
        <v>#DIV/0!</v>
      </c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6"/>
      <c r="Z37" s="45"/>
      <c r="AA37" s="47"/>
      <c r="AB37" s="47"/>
      <c r="AC37" s="47"/>
      <c r="AD37" s="47"/>
      <c r="AE37" s="33"/>
      <c r="AF37" s="33"/>
      <c r="AG37" s="22"/>
      <c r="AH37" s="64"/>
    </row>
    <row r="38" spans="1:34" ht="17.399999999999999" x14ac:dyDescent="0.3">
      <c r="A38" s="48"/>
      <c r="B38" s="29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6"/>
      <c r="Z38" s="45"/>
      <c r="AA38" s="49"/>
      <c r="AB38" s="49"/>
      <c r="AC38" s="49"/>
      <c r="AD38" s="49"/>
      <c r="AE38" s="22"/>
      <c r="AF38" s="22"/>
      <c r="AG38" s="22"/>
      <c r="AH38" s="34"/>
    </row>
    <row r="39" spans="1:34" ht="33.6" x14ac:dyDescent="0.3">
      <c r="A39" s="87" t="s">
        <v>23</v>
      </c>
      <c r="B39" s="60"/>
      <c r="C39" s="61"/>
      <c r="D39" s="61"/>
      <c r="E39" s="61"/>
      <c r="F39" s="61"/>
      <c r="G39" s="61"/>
      <c r="H39" s="61"/>
      <c r="I39" s="61"/>
      <c r="J39" s="61"/>
      <c r="K39" s="88" t="s">
        <v>24</v>
      </c>
      <c r="L39" s="61"/>
      <c r="M39" s="61"/>
      <c r="N39" s="61"/>
      <c r="O39" s="61"/>
      <c r="P39" s="61"/>
      <c r="Q39" s="61"/>
      <c r="R39" s="61"/>
      <c r="S39" s="88" t="s">
        <v>24</v>
      </c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89"/>
    </row>
    <row r="40" spans="1:34" ht="33.6" x14ac:dyDescent="0.3">
      <c r="A40" s="90" t="s">
        <v>25</v>
      </c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91" t="s">
        <v>24</v>
      </c>
      <c r="R40" s="61"/>
      <c r="S40" s="61"/>
      <c r="T40" s="61"/>
      <c r="U40" s="61"/>
      <c r="V40" s="61"/>
      <c r="W40" s="61"/>
      <c r="X40" s="61"/>
      <c r="Y40" s="61"/>
      <c r="Z40" s="91" t="s">
        <v>24</v>
      </c>
      <c r="AA40" s="61"/>
      <c r="AB40" s="61"/>
      <c r="AC40" s="61"/>
      <c r="AD40" s="61"/>
      <c r="AE40" s="61"/>
      <c r="AF40" s="61"/>
      <c r="AG40" s="61"/>
      <c r="AH40" s="89"/>
    </row>
    <row r="41" spans="1:34" ht="50.4" x14ac:dyDescent="0.3">
      <c r="A41" s="92" t="s">
        <v>26</v>
      </c>
      <c r="B41" s="6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2"/>
      <c r="Q41" s="62"/>
      <c r="R41" s="62"/>
      <c r="S41" s="62"/>
      <c r="T41" s="62"/>
      <c r="U41" s="62"/>
      <c r="V41" s="93" t="s">
        <v>27</v>
      </c>
      <c r="W41" s="62"/>
      <c r="X41" s="62"/>
      <c r="Y41" s="62"/>
      <c r="Z41" s="62"/>
      <c r="AA41" s="93" t="s">
        <v>24</v>
      </c>
      <c r="AB41" s="93" t="s">
        <v>24</v>
      </c>
      <c r="AC41" s="62"/>
      <c r="AD41" s="93" t="s">
        <v>27</v>
      </c>
      <c r="AE41" s="62"/>
      <c r="AF41" s="62"/>
      <c r="AG41" s="62"/>
      <c r="AH41" s="64"/>
    </row>
    <row r="42" spans="1:34" ht="50.4" x14ac:dyDescent="0.3">
      <c r="A42" s="94" t="s">
        <v>28</v>
      </c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95" t="s">
        <v>24</v>
      </c>
      <c r="S42" s="61"/>
      <c r="T42" s="95" t="s">
        <v>27</v>
      </c>
      <c r="U42" s="95" t="s">
        <v>27</v>
      </c>
      <c r="V42" s="61"/>
      <c r="W42" s="61"/>
      <c r="X42" s="61"/>
      <c r="Y42" s="61"/>
      <c r="Z42" s="61"/>
      <c r="AA42" s="61"/>
      <c r="AB42" s="61"/>
      <c r="AC42" s="95" t="s">
        <v>27</v>
      </c>
      <c r="AD42" s="61"/>
      <c r="AE42" s="61"/>
      <c r="AF42" s="61"/>
      <c r="AG42" s="61"/>
      <c r="AH42" s="89"/>
    </row>
    <row r="43" spans="1:34" ht="50.4" x14ac:dyDescent="0.3">
      <c r="A43" s="87" t="s">
        <v>5</v>
      </c>
      <c r="B43" s="60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88" t="s">
        <v>24</v>
      </c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88" t="s">
        <v>27</v>
      </c>
      <c r="AB43" s="61"/>
      <c r="AC43" s="61"/>
      <c r="AD43" s="61"/>
      <c r="AE43" s="61"/>
      <c r="AF43" s="61"/>
      <c r="AG43" s="61"/>
      <c r="AH43" s="89"/>
    </row>
    <row r="44" spans="1:34" ht="67.8" thickBot="1" x14ac:dyDescent="0.35">
      <c r="A44" s="59" t="s">
        <v>29</v>
      </c>
      <c r="B44" s="60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89"/>
      <c r="AF44" s="89"/>
      <c r="AG44" s="89"/>
      <c r="AH44" s="89"/>
    </row>
    <row r="45" spans="1:34" ht="18" thickBot="1" x14ac:dyDescent="0.35">
      <c r="A45" s="96"/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 t="s">
        <v>30</v>
      </c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7"/>
      <c r="AH45" s="97"/>
    </row>
    <row r="46" spans="1:34" ht="50.4" x14ac:dyDescent="0.3">
      <c r="A46" s="54" t="s">
        <v>31</v>
      </c>
      <c r="B46" s="84" t="s">
        <v>2</v>
      </c>
      <c r="C46" s="74"/>
      <c r="D46" s="45"/>
      <c r="E46" s="45" t="s">
        <v>6</v>
      </c>
      <c r="F46" s="45" t="s">
        <v>6</v>
      </c>
      <c r="G46" s="45" t="s">
        <v>7</v>
      </c>
      <c r="H46" s="45" t="s">
        <v>7</v>
      </c>
      <c r="I46" s="45"/>
      <c r="J46" s="45"/>
      <c r="K46" s="45"/>
      <c r="L46" s="45"/>
      <c r="M46" s="45" t="s">
        <v>6</v>
      </c>
      <c r="N46" s="45" t="s">
        <v>6</v>
      </c>
      <c r="O46" s="45" t="s">
        <v>7</v>
      </c>
      <c r="P46" s="45" t="s">
        <v>7</v>
      </c>
      <c r="Q46" s="45"/>
      <c r="R46" s="45"/>
      <c r="S46" s="45"/>
      <c r="T46" s="45"/>
      <c r="U46" s="45" t="s">
        <v>6</v>
      </c>
      <c r="V46" s="45"/>
      <c r="W46" s="45" t="s">
        <v>7</v>
      </c>
      <c r="X46" s="45" t="s">
        <v>7</v>
      </c>
      <c r="Y46" s="46"/>
      <c r="Z46" s="45"/>
      <c r="AA46" s="45"/>
      <c r="AB46" s="45"/>
      <c r="AC46" s="45" t="s">
        <v>6</v>
      </c>
      <c r="AD46" s="47" t="s">
        <v>6</v>
      </c>
      <c r="AE46" s="98"/>
      <c r="AF46" s="22"/>
      <c r="AG46" s="23"/>
      <c r="AH46" s="51">
        <f>COUNTIF(C46:AG46,"Д")+COUNTIF(C46:AG46,"Н")+COUNTIF(C46:AG46,"ПД")+COUNTIF(C46:AG46,"ПН")+COUNTIF(C46:AG46,"Д/8")</f>
        <v>13</v>
      </c>
    </row>
    <row r="47" spans="1:34" ht="17.399999999999999" x14ac:dyDescent="0.3">
      <c r="A47" s="99"/>
      <c r="B47" s="26" t="e">
        <f>AVERAGE(C47:AG47)</f>
        <v>#DIV/0!</v>
      </c>
      <c r="C47" s="74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7"/>
      <c r="Y47" s="66"/>
      <c r="Z47" s="47"/>
      <c r="AA47" s="47"/>
      <c r="AB47" s="47"/>
      <c r="AC47" s="47"/>
      <c r="AD47" s="47"/>
      <c r="AE47" s="98"/>
      <c r="AF47" s="22"/>
      <c r="AG47" s="23"/>
      <c r="AH47" s="64"/>
    </row>
    <row r="48" spans="1:34" ht="16.8" x14ac:dyDescent="0.3">
      <c r="A48" s="48"/>
      <c r="B48" s="57"/>
      <c r="C48" s="100"/>
      <c r="D48" s="101"/>
      <c r="E48" s="101"/>
      <c r="F48" s="101"/>
      <c r="G48" s="101"/>
      <c r="H48" s="101"/>
      <c r="I48" s="101"/>
      <c r="J48" s="101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6"/>
      <c r="Z48" s="45"/>
      <c r="AA48" s="68"/>
      <c r="AB48" s="68"/>
      <c r="AC48" s="68"/>
      <c r="AD48" s="68"/>
      <c r="AE48" s="102"/>
      <c r="AF48" s="33"/>
      <c r="AG48" s="23"/>
      <c r="AH48" s="103"/>
    </row>
    <row r="49" spans="1:34" ht="50.4" x14ac:dyDescent="0.3">
      <c r="A49" s="54" t="s">
        <v>32</v>
      </c>
      <c r="B49" s="44"/>
      <c r="C49" s="74" t="s">
        <v>6</v>
      </c>
      <c r="D49" s="45" t="s">
        <v>6</v>
      </c>
      <c r="E49" s="45" t="s">
        <v>7</v>
      </c>
      <c r="F49" s="45" t="s">
        <v>7</v>
      </c>
      <c r="G49" s="45"/>
      <c r="H49" s="45"/>
      <c r="I49" s="45"/>
      <c r="J49" s="45"/>
      <c r="K49" s="45" t="s">
        <v>6</v>
      </c>
      <c r="L49" s="45" t="s">
        <v>6</v>
      </c>
      <c r="M49" s="45" t="s">
        <v>7</v>
      </c>
      <c r="N49" s="45" t="s">
        <v>7</v>
      </c>
      <c r="O49" s="45"/>
      <c r="P49" s="45"/>
      <c r="Q49" s="45"/>
      <c r="R49" s="45"/>
      <c r="S49" s="45" t="s">
        <v>6</v>
      </c>
      <c r="T49" s="45" t="s">
        <v>6</v>
      </c>
      <c r="U49" s="45"/>
      <c r="V49" s="45" t="s">
        <v>7</v>
      </c>
      <c r="W49" s="47"/>
      <c r="X49" s="47"/>
      <c r="Y49" s="66"/>
      <c r="Z49" s="47"/>
      <c r="AA49" s="45" t="s">
        <v>6</v>
      </c>
      <c r="AB49" s="45" t="s">
        <v>6</v>
      </c>
      <c r="AC49" s="47" t="s">
        <v>7</v>
      </c>
      <c r="AD49" s="47" t="s">
        <v>7</v>
      </c>
      <c r="AE49" s="98"/>
      <c r="AF49" s="22"/>
      <c r="AG49" s="23"/>
      <c r="AH49" s="39">
        <f>COUNTIF(C49:AG49,"Д")+COUNTIF(C49:AG49,"Н")+COUNTIF(C49:AG49,"ПД")+COUNTIF(C49:AG49,"ПН")+COUNTIF(C49:AG49,"Д/8")</f>
        <v>15</v>
      </c>
    </row>
    <row r="50" spans="1:34" ht="17.399999999999999" x14ac:dyDescent="0.3">
      <c r="A50" s="52"/>
      <c r="B50" s="26" t="e">
        <f>AVERAGE(C50:AG50)</f>
        <v>#DIV/0!</v>
      </c>
      <c r="C50" s="100"/>
      <c r="D50" s="101"/>
      <c r="E50" s="101"/>
      <c r="F50" s="101"/>
      <c r="G50" s="101"/>
      <c r="H50" s="101"/>
      <c r="I50" s="101"/>
      <c r="J50" s="101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6"/>
      <c r="Z50" s="45"/>
      <c r="AA50" s="47"/>
      <c r="AB50" s="47"/>
      <c r="AC50" s="47"/>
      <c r="AD50" s="47"/>
      <c r="AE50" s="98"/>
      <c r="AF50" s="22"/>
      <c r="AG50" s="23"/>
      <c r="AH50" s="64"/>
    </row>
    <row r="51" spans="1:34" ht="17.399999999999999" x14ac:dyDescent="0.3">
      <c r="A51" s="104"/>
      <c r="B51" s="57"/>
      <c r="C51" s="74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7"/>
      <c r="Y51" s="66"/>
      <c r="Z51" s="47"/>
      <c r="AA51" s="105"/>
      <c r="AB51" s="105"/>
      <c r="AC51" s="105"/>
      <c r="AD51" s="105"/>
      <c r="AE51" s="98"/>
      <c r="AF51" s="22"/>
      <c r="AG51" s="22"/>
      <c r="AH51" s="34"/>
    </row>
    <row r="52" spans="1:34" ht="50.4" x14ac:dyDescent="0.3">
      <c r="A52" s="54" t="s">
        <v>33</v>
      </c>
      <c r="B52" s="20"/>
      <c r="C52" s="74" t="s">
        <v>7</v>
      </c>
      <c r="D52" s="45" t="s">
        <v>7</v>
      </c>
      <c r="E52" s="45"/>
      <c r="F52" s="45"/>
      <c r="G52" s="45"/>
      <c r="H52" s="45"/>
      <c r="I52" s="45" t="s">
        <v>6</v>
      </c>
      <c r="J52" s="45" t="s">
        <v>6</v>
      </c>
      <c r="K52" s="45" t="s">
        <v>7</v>
      </c>
      <c r="L52" s="45" t="s">
        <v>7</v>
      </c>
      <c r="M52" s="45"/>
      <c r="N52" s="45"/>
      <c r="O52" s="45"/>
      <c r="P52" s="45"/>
      <c r="Q52" s="45" t="s">
        <v>6</v>
      </c>
      <c r="R52" s="45" t="s">
        <v>6</v>
      </c>
      <c r="S52" s="45" t="s">
        <v>7</v>
      </c>
      <c r="T52" s="45" t="s">
        <v>7</v>
      </c>
      <c r="U52" s="45" t="s">
        <v>7</v>
      </c>
      <c r="V52" s="45"/>
      <c r="W52" s="45"/>
      <c r="X52" s="45"/>
      <c r="Y52" s="46" t="s">
        <v>6</v>
      </c>
      <c r="Z52" s="45" t="s">
        <v>6</v>
      </c>
      <c r="AA52" s="45" t="s">
        <v>7</v>
      </c>
      <c r="AB52" s="45" t="s">
        <v>7</v>
      </c>
      <c r="AC52" s="45"/>
      <c r="AD52" s="45"/>
      <c r="AE52" s="98"/>
      <c r="AF52" s="22"/>
      <c r="AG52" s="22"/>
      <c r="AH52" s="24">
        <f>COUNTIF(C52:AG52,"Д")+COUNTIF(C52:AG52,"Н")+COUNTIF(C52:AG52,"ПД")+COUNTIF(C52:AG52,"ПН")+COUNTIF(C52:AG52,"Д/8")</f>
        <v>15</v>
      </c>
    </row>
    <row r="53" spans="1:34" ht="17.399999999999999" x14ac:dyDescent="0.3">
      <c r="A53" s="43"/>
      <c r="B53" s="26" t="e">
        <f>AVERAGE(C53:AG53)</f>
        <v>#DIV/0!</v>
      </c>
      <c r="C53" s="100"/>
      <c r="D53" s="101"/>
      <c r="E53" s="101"/>
      <c r="F53" s="101"/>
      <c r="G53" s="101"/>
      <c r="H53" s="101"/>
      <c r="I53" s="101"/>
      <c r="J53" s="101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6"/>
      <c r="Z53" s="45"/>
      <c r="AA53" s="47"/>
      <c r="AB53" s="47"/>
      <c r="AC53" s="47"/>
      <c r="AD53" s="47"/>
      <c r="AE53" s="98"/>
      <c r="AF53" s="22"/>
      <c r="AG53" s="22"/>
      <c r="AH53" s="64"/>
    </row>
    <row r="54" spans="1:34" ht="17.399999999999999" x14ac:dyDescent="0.3">
      <c r="A54" s="48"/>
      <c r="B54" s="57"/>
      <c r="C54" s="74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6"/>
      <c r="Z54" s="45"/>
      <c r="AA54" s="68"/>
      <c r="AB54" s="68"/>
      <c r="AC54" s="68"/>
      <c r="AD54" s="68"/>
      <c r="AE54" s="102"/>
      <c r="AF54" s="33"/>
      <c r="AG54" s="22"/>
      <c r="AH54" s="34"/>
    </row>
    <row r="55" spans="1:34" ht="33.6" x14ac:dyDescent="0.3">
      <c r="A55" s="54" t="s">
        <v>34</v>
      </c>
      <c r="B55" s="84"/>
      <c r="C55" s="74"/>
      <c r="D55" s="45"/>
      <c r="E55" s="101"/>
      <c r="F55" s="101"/>
      <c r="G55" s="45" t="s">
        <v>6</v>
      </c>
      <c r="H55" s="45" t="s">
        <v>6</v>
      </c>
      <c r="I55" s="45" t="s">
        <v>7</v>
      </c>
      <c r="J55" s="45" t="s">
        <v>7</v>
      </c>
      <c r="K55" s="45"/>
      <c r="L55" s="45"/>
      <c r="M55" s="45"/>
      <c r="N55" s="45"/>
      <c r="O55" s="45" t="s">
        <v>6</v>
      </c>
      <c r="P55" s="45" t="s">
        <v>6</v>
      </c>
      <c r="Q55" s="45" t="s">
        <v>7</v>
      </c>
      <c r="R55" s="45" t="s">
        <v>7</v>
      </c>
      <c r="S55" s="45"/>
      <c r="T55" s="45"/>
      <c r="U55" s="45"/>
      <c r="V55" s="45" t="s">
        <v>6</v>
      </c>
      <c r="W55" s="45" t="s">
        <v>6</v>
      </c>
      <c r="X55" s="45" t="s">
        <v>6</v>
      </c>
      <c r="Y55" s="46" t="s">
        <v>7</v>
      </c>
      <c r="Z55" s="45" t="s">
        <v>7</v>
      </c>
      <c r="AA55" s="45"/>
      <c r="AB55" s="45"/>
      <c r="AC55" s="45"/>
      <c r="AD55" s="45"/>
      <c r="AE55" s="98"/>
      <c r="AF55" s="22"/>
      <c r="AG55" s="22"/>
      <c r="AH55" s="51">
        <f>COUNTIF(C55:AG55,"Д")+COUNTIF(C55:AG55,"Н")+COUNTIF(C55:AG55,"ПД")+COUNTIF(C55:AG55,"ПН")+COUNTIF(C55:AG55,"Д/8")</f>
        <v>13</v>
      </c>
    </row>
    <row r="56" spans="1:34" ht="18" thickBot="1" x14ac:dyDescent="0.35">
      <c r="A56" s="43"/>
      <c r="B56" s="26" t="e">
        <f>AVERAGE(C56:AG56)</f>
        <v>#DIV/0!</v>
      </c>
      <c r="C56" s="74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6"/>
      <c r="Z56" s="45"/>
      <c r="AA56" s="47"/>
      <c r="AB56" s="47"/>
      <c r="AC56" s="47"/>
      <c r="AD56" s="47"/>
      <c r="AE56" s="98"/>
      <c r="AF56" s="22"/>
      <c r="AG56" s="22"/>
      <c r="AH56" s="64"/>
    </row>
    <row r="57" spans="1:34" ht="67.8" thickBot="1" x14ac:dyDescent="0.35">
      <c r="A57" s="59" t="s">
        <v>11</v>
      </c>
      <c r="B57" s="106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108"/>
    </row>
    <row r="58" spans="1:34" ht="18" thickBot="1" x14ac:dyDescent="0.35">
      <c r="A58" s="96"/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 t="s">
        <v>35</v>
      </c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7"/>
      <c r="AH58" s="109"/>
    </row>
    <row r="59" spans="1:34" ht="50.4" x14ac:dyDescent="0.3">
      <c r="A59" s="54" t="s">
        <v>23</v>
      </c>
      <c r="B59" s="20"/>
      <c r="C59" s="74"/>
      <c r="D59" s="74"/>
      <c r="E59" s="74"/>
      <c r="F59" s="45" t="s">
        <v>7</v>
      </c>
      <c r="G59" s="45" t="s">
        <v>7</v>
      </c>
      <c r="H59" s="45"/>
      <c r="I59" s="45"/>
      <c r="J59" s="45"/>
      <c r="K59" s="21" t="s">
        <v>6</v>
      </c>
      <c r="L59" s="45" t="s">
        <v>6</v>
      </c>
      <c r="M59" s="45" t="s">
        <v>6</v>
      </c>
      <c r="N59" s="45" t="s">
        <v>7</v>
      </c>
      <c r="O59" s="45" t="s">
        <v>7</v>
      </c>
      <c r="P59" s="45"/>
      <c r="Q59" s="45"/>
      <c r="R59" s="45"/>
      <c r="S59" s="21" t="s">
        <v>6</v>
      </c>
      <c r="T59" s="45" t="s">
        <v>6</v>
      </c>
      <c r="U59" s="45" t="s">
        <v>6</v>
      </c>
      <c r="V59" s="45" t="s">
        <v>7</v>
      </c>
      <c r="W59" s="45" t="s">
        <v>7</v>
      </c>
      <c r="X59" s="45"/>
      <c r="Y59" s="46"/>
      <c r="Z59" s="45"/>
      <c r="AA59" s="45"/>
      <c r="AB59" s="45" t="s">
        <v>6</v>
      </c>
      <c r="AC59" s="45" t="s">
        <v>6</v>
      </c>
      <c r="AD59" s="45" t="s">
        <v>7</v>
      </c>
      <c r="AE59" s="22"/>
      <c r="AF59" s="22"/>
      <c r="AG59" s="23"/>
      <c r="AH59" s="24">
        <f>COUNTIF(C59:AG59,"Д")+COUNTIF(C59:AG59,"Н")+COUNTIF(C59:AG59,"ПД")+COUNTIF(C59:AG59,"ПН")+COUNTIF(C59:AG59,"Д/8")</f>
        <v>15</v>
      </c>
    </row>
    <row r="60" spans="1:34" ht="17.399999999999999" x14ac:dyDescent="0.3">
      <c r="A60" s="43"/>
      <c r="B60" s="26" t="e">
        <f>AVERAGE(C60:AG60)</f>
        <v>#DIV/0!</v>
      </c>
      <c r="C60" s="74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7"/>
      <c r="Y60" s="66"/>
      <c r="Z60" s="47"/>
      <c r="AA60" s="47"/>
      <c r="AB60" s="47"/>
      <c r="AC60" s="47"/>
      <c r="AD60" s="47"/>
      <c r="AE60" s="22"/>
      <c r="AF60" s="22"/>
      <c r="AG60" s="23"/>
      <c r="AH60" s="64"/>
    </row>
    <row r="61" spans="1:34" ht="17.399999999999999" x14ac:dyDescent="0.3">
      <c r="A61" s="48"/>
      <c r="B61" s="29"/>
      <c r="C61" s="100"/>
      <c r="D61" s="101"/>
      <c r="E61" s="101"/>
      <c r="F61" s="101"/>
      <c r="G61" s="101"/>
      <c r="H61" s="101"/>
      <c r="I61" s="101"/>
      <c r="J61" s="101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6"/>
      <c r="Z61" s="45"/>
      <c r="AA61" s="68"/>
      <c r="AB61" s="68"/>
      <c r="AC61" s="68"/>
      <c r="AD61" s="68"/>
      <c r="AE61" s="33"/>
      <c r="AF61" s="33"/>
      <c r="AG61" s="23"/>
      <c r="AH61" s="34"/>
    </row>
    <row r="62" spans="1:34" ht="33.6" x14ac:dyDescent="0.3">
      <c r="A62" s="54" t="s">
        <v>36</v>
      </c>
      <c r="B62" s="44"/>
      <c r="C62" s="74" t="s">
        <v>6</v>
      </c>
      <c r="D62" s="45" t="s">
        <v>7</v>
      </c>
      <c r="E62" s="45" t="s">
        <v>7</v>
      </c>
      <c r="F62" s="45"/>
      <c r="G62" s="45"/>
      <c r="H62" s="45"/>
      <c r="I62" s="45"/>
      <c r="J62" s="45" t="s">
        <v>6</v>
      </c>
      <c r="K62" s="45" t="s">
        <v>6</v>
      </c>
      <c r="L62" s="45" t="s">
        <v>7</v>
      </c>
      <c r="M62" s="45" t="s">
        <v>7</v>
      </c>
      <c r="N62" s="45"/>
      <c r="O62" s="45"/>
      <c r="P62" s="45"/>
      <c r="Q62" s="45"/>
      <c r="R62" s="45" t="s">
        <v>6</v>
      </c>
      <c r="S62" s="45" t="s">
        <v>6</v>
      </c>
      <c r="T62" s="45" t="s">
        <v>7</v>
      </c>
      <c r="U62" s="45" t="s">
        <v>7</v>
      </c>
      <c r="V62" s="45"/>
      <c r="W62" s="45"/>
      <c r="X62" s="45"/>
      <c r="Y62" s="46"/>
      <c r="Z62" s="45" t="s">
        <v>6</v>
      </c>
      <c r="AA62" s="45" t="s">
        <v>6</v>
      </c>
      <c r="AB62" s="45" t="s">
        <v>7</v>
      </c>
      <c r="AC62" s="45" t="s">
        <v>7</v>
      </c>
      <c r="AD62" s="45"/>
      <c r="AE62" s="22"/>
      <c r="AF62" s="22"/>
      <c r="AG62" s="23"/>
      <c r="AH62" s="39">
        <f>COUNTIF(C62:AG62,"Д")+COUNTIF(C62:AG62,"Н")+COUNTIF(C62:AG62,"ПД")+COUNTIF(C62:AG62,"ПН")+COUNTIF(C62:AG62,"Д/8")</f>
        <v>15</v>
      </c>
    </row>
    <row r="63" spans="1:34" ht="17.399999999999999" x14ac:dyDescent="0.3">
      <c r="A63" s="110"/>
      <c r="B63" s="26" t="e">
        <f>AVERAGE(C63:AG63)</f>
        <v>#DIV/0!</v>
      </c>
      <c r="C63" s="100"/>
      <c r="D63" s="100"/>
      <c r="E63" s="100"/>
      <c r="F63" s="101"/>
      <c r="G63" s="101"/>
      <c r="H63" s="101"/>
      <c r="I63" s="101"/>
      <c r="J63" s="101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6"/>
      <c r="Z63" s="45"/>
      <c r="AA63" s="47"/>
      <c r="AB63" s="47"/>
      <c r="AC63" s="47"/>
      <c r="AD63" s="47"/>
      <c r="AE63" s="22"/>
      <c r="AF63" s="22"/>
      <c r="AG63" s="23"/>
      <c r="AH63" s="64"/>
    </row>
    <row r="64" spans="1:34" ht="17.399999999999999" x14ac:dyDescent="0.3">
      <c r="A64" s="48"/>
      <c r="B64" s="29"/>
      <c r="C64" s="74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6"/>
      <c r="Z64" s="45"/>
      <c r="AA64" s="68"/>
      <c r="AB64" s="68"/>
      <c r="AC64" s="68"/>
      <c r="AD64" s="68"/>
      <c r="AE64" s="22"/>
      <c r="AF64" s="22"/>
      <c r="AG64" s="23"/>
      <c r="AH64" s="34"/>
    </row>
    <row r="65" spans="1:34" ht="50.4" x14ac:dyDescent="0.3">
      <c r="A65" s="19" t="s">
        <v>32</v>
      </c>
      <c r="B65" s="44"/>
      <c r="C65" s="111"/>
      <c r="D65" s="21"/>
      <c r="E65" s="21"/>
      <c r="F65" s="21"/>
      <c r="G65" s="21" t="s">
        <v>37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33"/>
      <c r="AF65" s="33"/>
      <c r="AG65" s="23"/>
      <c r="AH65" s="39">
        <f>COUNTIF(C65:AG65,"Д")+COUNTIF(C65:AG65,"Н")+COUNTIF(C65:AG65,"ПД")+COUNTIF(C65:AG65,"ПН")+COUNTIF(C65:AG65,"Д/8")</f>
        <v>0</v>
      </c>
    </row>
    <row r="66" spans="1:34" ht="17.399999999999999" x14ac:dyDescent="0.3">
      <c r="A66" s="112"/>
      <c r="B66" s="26" t="e">
        <f>AVERAGE(C66:AG66)</f>
        <v>#DIV/0!</v>
      </c>
      <c r="C66" s="11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2"/>
      <c r="AF66" s="22"/>
      <c r="AG66" s="23"/>
      <c r="AH66" s="64"/>
    </row>
    <row r="67" spans="1:34" ht="17.399999999999999" x14ac:dyDescent="0.3">
      <c r="A67" s="104"/>
      <c r="B67" s="57"/>
      <c r="C67" s="74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7"/>
      <c r="Y67" s="46"/>
      <c r="Z67" s="47"/>
      <c r="AA67" s="105"/>
      <c r="AB67" s="105"/>
      <c r="AC67" s="105"/>
      <c r="AD67" s="105"/>
      <c r="AE67" s="22"/>
      <c r="AF67" s="22"/>
      <c r="AG67" s="23"/>
      <c r="AH67" s="34"/>
    </row>
    <row r="68" spans="1:34" ht="50.4" x14ac:dyDescent="0.3">
      <c r="A68" s="54" t="s">
        <v>38</v>
      </c>
      <c r="B68" s="113"/>
      <c r="C68" s="100"/>
      <c r="D68" s="101"/>
      <c r="E68" s="101"/>
      <c r="F68" s="101" t="s">
        <v>6</v>
      </c>
      <c r="G68" s="101" t="s">
        <v>6</v>
      </c>
      <c r="H68" s="101" t="s">
        <v>7</v>
      </c>
      <c r="I68" s="101" t="s">
        <v>7</v>
      </c>
      <c r="J68" s="101"/>
      <c r="K68" s="45"/>
      <c r="L68" s="45"/>
      <c r="M68" s="45"/>
      <c r="N68" s="45" t="s">
        <v>6</v>
      </c>
      <c r="O68" s="45" t="s">
        <v>6</v>
      </c>
      <c r="P68" s="45" t="s">
        <v>7</v>
      </c>
      <c r="Q68" s="45" t="s">
        <v>7</v>
      </c>
      <c r="R68" s="45"/>
      <c r="S68" s="45"/>
      <c r="T68" s="45"/>
      <c r="U68" s="45"/>
      <c r="V68" s="45" t="s">
        <v>6</v>
      </c>
      <c r="W68" s="45" t="s">
        <v>6</v>
      </c>
      <c r="X68" s="45" t="s">
        <v>7</v>
      </c>
      <c r="Y68" s="66" t="s">
        <v>7</v>
      </c>
      <c r="Z68" s="45"/>
      <c r="AA68" s="47"/>
      <c r="AB68" s="47"/>
      <c r="AC68" s="47"/>
      <c r="AD68" s="47" t="s">
        <v>6</v>
      </c>
      <c r="AE68" s="22"/>
      <c r="AF68" s="22"/>
      <c r="AG68" s="22"/>
      <c r="AH68" s="51">
        <f>COUNTIF(C68:AG68,"Д")+COUNTIF(C68:AG68,"Н")+COUNTIF(C68:AG68,"ПД")+COUNTIF(C68:AG68,"ПН")+COUNTIF(C68:AG68,"Д/8")</f>
        <v>13</v>
      </c>
    </row>
    <row r="69" spans="1:34" ht="17.399999999999999" x14ac:dyDescent="0.3">
      <c r="A69" s="110"/>
      <c r="B69" s="26" t="e">
        <f>AVERAGE(C69:AG69)</f>
        <v>#DIV/0!</v>
      </c>
      <c r="C69" s="74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6"/>
      <c r="Z69" s="45"/>
      <c r="AA69" s="47"/>
      <c r="AB69" s="47"/>
      <c r="AC69" s="47"/>
      <c r="AD69" s="47"/>
      <c r="AE69" s="22"/>
      <c r="AF69" s="22"/>
      <c r="AG69" s="22"/>
      <c r="AH69" s="64"/>
    </row>
    <row r="70" spans="1:34" ht="17.399999999999999" x14ac:dyDescent="0.3">
      <c r="A70" s="48"/>
      <c r="B70" s="29"/>
      <c r="C70" s="100"/>
      <c r="D70" s="101"/>
      <c r="E70" s="101"/>
      <c r="F70" s="101"/>
      <c r="G70" s="101"/>
      <c r="H70" s="101"/>
      <c r="I70" s="101"/>
      <c r="J70" s="101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6"/>
      <c r="Z70" s="45"/>
      <c r="AA70" s="68"/>
      <c r="AB70" s="68"/>
      <c r="AC70" s="68"/>
      <c r="AD70" s="68"/>
      <c r="AE70" s="22"/>
      <c r="AF70" s="22"/>
      <c r="AG70" s="22"/>
      <c r="AH70" s="34"/>
    </row>
    <row r="71" spans="1:34" ht="50.4" x14ac:dyDescent="0.3">
      <c r="A71" s="54" t="s">
        <v>39</v>
      </c>
      <c r="B71" s="76"/>
      <c r="C71" s="74" t="s">
        <v>7</v>
      </c>
      <c r="D71" s="45"/>
      <c r="E71" s="45"/>
      <c r="F71" s="45"/>
      <c r="G71" s="45"/>
      <c r="H71" s="45" t="s">
        <v>6</v>
      </c>
      <c r="I71" s="45" t="s">
        <v>6</v>
      </c>
      <c r="J71" s="45" t="s">
        <v>7</v>
      </c>
      <c r="K71" s="45" t="s">
        <v>7</v>
      </c>
      <c r="L71" s="45"/>
      <c r="M71" s="45"/>
      <c r="N71" s="45"/>
      <c r="O71" s="45"/>
      <c r="P71" s="45" t="s">
        <v>6</v>
      </c>
      <c r="Q71" s="45" t="s">
        <v>6</v>
      </c>
      <c r="R71" s="45" t="s">
        <v>7</v>
      </c>
      <c r="S71" s="45" t="s">
        <v>7</v>
      </c>
      <c r="T71" s="45"/>
      <c r="U71" s="45"/>
      <c r="V71" s="45"/>
      <c r="W71" s="45"/>
      <c r="X71" s="45" t="s">
        <v>6</v>
      </c>
      <c r="Y71" s="46" t="s">
        <v>6</v>
      </c>
      <c r="Z71" s="45" t="s">
        <v>7</v>
      </c>
      <c r="AA71" s="45" t="s">
        <v>7</v>
      </c>
      <c r="AB71" s="47"/>
      <c r="AC71" s="47"/>
      <c r="AD71" s="47"/>
      <c r="AE71" s="33"/>
      <c r="AF71" s="33"/>
      <c r="AG71" s="22"/>
      <c r="AH71" s="67">
        <f>COUNTIF(C71:AG71,"Д")+COUNTIF(C71:AG71,"Н")+COUNTIF(C71:AG71,"ПД")+COUNTIF(C71:AG71,"ПН")+COUNTIF(C71:AG71,"Д/8")</f>
        <v>13</v>
      </c>
    </row>
    <row r="72" spans="1:34" ht="17.399999999999999" x14ac:dyDescent="0.3">
      <c r="A72" s="52"/>
      <c r="B72" s="26" t="e">
        <f>AVERAGE(C72:AG72)</f>
        <v>#DIV/0!</v>
      </c>
      <c r="C72" s="74"/>
      <c r="D72" s="45"/>
      <c r="E72" s="101"/>
      <c r="F72" s="101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6"/>
      <c r="Z72" s="45"/>
      <c r="AA72" s="47"/>
      <c r="AB72" s="47"/>
      <c r="AC72" s="47"/>
      <c r="AD72" s="47"/>
      <c r="AE72" s="22"/>
      <c r="AF72" s="22"/>
      <c r="AG72" s="22"/>
      <c r="AH72" s="64"/>
    </row>
    <row r="73" spans="1:34" ht="18" thickBot="1" x14ac:dyDescent="0.35">
      <c r="A73" s="48"/>
      <c r="B73" s="29"/>
      <c r="C73" s="74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6"/>
      <c r="Z73" s="45"/>
      <c r="AA73" s="68"/>
      <c r="AB73" s="68"/>
      <c r="AC73" s="68"/>
      <c r="AD73" s="68"/>
      <c r="AE73" s="22"/>
      <c r="AF73" s="22"/>
      <c r="AG73" s="22"/>
      <c r="AH73" s="114"/>
    </row>
    <row r="74" spans="1:34" ht="50.4" x14ac:dyDescent="0.3">
      <c r="A74" s="87" t="s">
        <v>26</v>
      </c>
      <c r="B74" s="60"/>
      <c r="C74" s="107"/>
      <c r="D74" s="115" t="s">
        <v>24</v>
      </c>
      <c r="E74" s="115" t="s">
        <v>24</v>
      </c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4"/>
    </row>
    <row r="75" spans="1:34" ht="67.8" thickBot="1" x14ac:dyDescent="0.35">
      <c r="A75" s="59" t="s">
        <v>29</v>
      </c>
      <c r="B75" s="60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4"/>
    </row>
    <row r="76" spans="1:34" ht="18" thickBot="1" x14ac:dyDescent="0.35">
      <c r="A76" s="96"/>
      <c r="B76" s="13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 t="s">
        <v>40</v>
      </c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7"/>
      <c r="AH76" s="116"/>
    </row>
    <row r="77" spans="1:34" ht="33.6" x14ac:dyDescent="0.3">
      <c r="A77" s="117" t="s">
        <v>41</v>
      </c>
      <c r="B77" s="118"/>
      <c r="C77" s="111"/>
      <c r="D77" s="21"/>
      <c r="E77" s="21"/>
      <c r="F77" s="21"/>
      <c r="G77" s="21" t="s">
        <v>42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2"/>
      <c r="AF77" s="22"/>
      <c r="AG77" s="23"/>
      <c r="AH77" s="67">
        <f>COUNTIF(C77:AG77,"Д")+COUNTIF(C77:AG77,"Н")+COUNTIF(C77:AG77,"ПД")+COUNTIF(C77:AG77,"ПН")+COUNTIF(C77:AG77,"Д/8")</f>
        <v>0</v>
      </c>
    </row>
    <row r="78" spans="1:34" ht="17.399999999999999" x14ac:dyDescent="0.3">
      <c r="A78" s="119"/>
      <c r="B78" s="26" t="e">
        <f>AVERAGE(C78:AG78)</f>
        <v>#DIV/0!</v>
      </c>
      <c r="C78" s="11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2"/>
      <c r="AF78" s="22"/>
      <c r="AG78" s="23"/>
      <c r="AH78" s="64"/>
    </row>
    <row r="79" spans="1:34" ht="17.399999999999999" x14ac:dyDescent="0.3">
      <c r="A79" s="120"/>
      <c r="B79" s="29"/>
      <c r="C79" s="74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7"/>
      <c r="Y79" s="66"/>
      <c r="Z79" s="47"/>
      <c r="AA79" s="68"/>
      <c r="AB79" s="68"/>
      <c r="AC79" s="68"/>
      <c r="AD79" s="68"/>
      <c r="AE79" s="22"/>
      <c r="AF79" s="22"/>
      <c r="AG79" s="23"/>
      <c r="AH79" s="34"/>
    </row>
    <row r="80" spans="1:34" ht="33.6" x14ac:dyDescent="0.3">
      <c r="A80" s="54" t="s">
        <v>3</v>
      </c>
      <c r="B80" s="20" t="s">
        <v>2</v>
      </c>
      <c r="C80" s="45" t="s">
        <v>6</v>
      </c>
      <c r="D80" s="45" t="s">
        <v>7</v>
      </c>
      <c r="E80" s="45" t="s">
        <v>7</v>
      </c>
      <c r="F80" s="45" t="s">
        <v>7</v>
      </c>
      <c r="G80" s="45"/>
      <c r="H80" s="45"/>
      <c r="I80" s="45"/>
      <c r="J80" s="46" t="s">
        <v>22</v>
      </c>
      <c r="K80" s="45" t="s">
        <v>6</v>
      </c>
      <c r="L80" s="45" t="s">
        <v>6</v>
      </c>
      <c r="M80" s="45" t="s">
        <v>7</v>
      </c>
      <c r="N80" s="46" t="s">
        <v>14</v>
      </c>
      <c r="O80" s="45" t="s">
        <v>7</v>
      </c>
      <c r="P80" s="45"/>
      <c r="Q80" s="45"/>
      <c r="R80" s="45"/>
      <c r="S80" s="45" t="s">
        <v>6</v>
      </c>
      <c r="T80" s="45" t="s">
        <v>6</v>
      </c>
      <c r="U80" s="45" t="s">
        <v>6</v>
      </c>
      <c r="V80" s="46" t="s">
        <v>14</v>
      </c>
      <c r="W80" s="45" t="s">
        <v>7</v>
      </c>
      <c r="X80" s="45" t="s">
        <v>7</v>
      </c>
      <c r="Y80" s="66"/>
      <c r="Z80" s="47"/>
      <c r="AA80" s="47"/>
      <c r="AB80" s="45" t="s">
        <v>6</v>
      </c>
      <c r="AC80" s="45" t="s">
        <v>6</v>
      </c>
      <c r="AD80" s="46" t="s">
        <v>22</v>
      </c>
      <c r="AE80" s="33"/>
      <c r="AF80" s="33"/>
      <c r="AG80" s="23"/>
      <c r="AH80" s="24">
        <f>COUNTIF(C80:AG80,"Д")+COUNTIF(C80:AG80,"Н")+COUNTIF(C80:AG80,"ПД")+COUNTIF(C80:AG80,"ПН")+COUNTIF(C80:AG80,"Д/8")</f>
        <v>19</v>
      </c>
    </row>
    <row r="81" spans="1:34" ht="17.399999999999999" x14ac:dyDescent="0.3">
      <c r="A81" s="121"/>
      <c r="B81" s="26" t="e">
        <f>AVERAGE(C81:AG81)</f>
        <v>#DIV/0!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66"/>
      <c r="Z81" s="47"/>
      <c r="AA81" s="47"/>
      <c r="AB81" s="47"/>
      <c r="AC81" s="47"/>
      <c r="AD81" s="47"/>
      <c r="AE81" s="22"/>
      <c r="AF81" s="22"/>
      <c r="AG81" s="23"/>
      <c r="AH81" s="27"/>
    </row>
    <row r="82" spans="1:34" ht="17.399999999999999" x14ac:dyDescent="0.3">
      <c r="A82" s="28"/>
      <c r="B82" s="29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6"/>
      <c r="Z82" s="47"/>
      <c r="AA82" s="68"/>
      <c r="AB82" s="68"/>
      <c r="AC82" s="68"/>
      <c r="AD82" s="68"/>
      <c r="AE82" s="22"/>
      <c r="AF82" s="22"/>
      <c r="AG82" s="23"/>
      <c r="AH82" s="34"/>
    </row>
    <row r="83" spans="1:34" ht="33.6" x14ac:dyDescent="0.3">
      <c r="A83" s="122" t="s">
        <v>43</v>
      </c>
      <c r="B83" s="20"/>
      <c r="C83" s="100"/>
      <c r="D83" s="101" t="s">
        <v>6</v>
      </c>
      <c r="E83" s="101" t="s">
        <v>6</v>
      </c>
      <c r="F83" s="101" t="s">
        <v>6</v>
      </c>
      <c r="G83" s="101" t="s">
        <v>7</v>
      </c>
      <c r="H83" s="46" t="s">
        <v>14</v>
      </c>
      <c r="I83" s="101" t="s">
        <v>7</v>
      </c>
      <c r="J83" s="101"/>
      <c r="K83" s="101"/>
      <c r="L83" s="101"/>
      <c r="M83" s="45" t="s">
        <v>6</v>
      </c>
      <c r="N83" s="45" t="s">
        <v>6</v>
      </c>
      <c r="O83" s="45" t="s">
        <v>6</v>
      </c>
      <c r="P83" s="45" t="s">
        <v>7</v>
      </c>
      <c r="Q83" s="46" t="s">
        <v>14</v>
      </c>
      <c r="R83" s="45" t="s">
        <v>7</v>
      </c>
      <c r="S83" s="45"/>
      <c r="T83" s="101"/>
      <c r="U83" s="45"/>
      <c r="V83" s="45" t="s">
        <v>6</v>
      </c>
      <c r="W83" s="45" t="s">
        <v>6</v>
      </c>
      <c r="X83" s="45" t="s">
        <v>6</v>
      </c>
      <c r="Y83" s="46" t="s">
        <v>7</v>
      </c>
      <c r="Z83" s="45" t="s">
        <v>7</v>
      </c>
      <c r="AA83" s="46" t="s">
        <v>14</v>
      </c>
      <c r="AB83" s="47"/>
      <c r="AC83" s="47"/>
      <c r="AD83" s="47"/>
      <c r="AE83" s="22"/>
      <c r="AF83" s="22"/>
      <c r="AG83" s="22"/>
      <c r="AH83" s="24">
        <f>COUNTIF(C83:AG83,"Д")+COUNTIF(C83:AG83,"Н")+COUNTIF(C83:AG83,"ПД")+COUNTIF(C83:AG83,"ПН")+COUNTIF(C83:AG83,"Д/8")</f>
        <v>18</v>
      </c>
    </row>
    <row r="84" spans="1:34" ht="17.399999999999999" x14ac:dyDescent="0.3">
      <c r="A84" s="122"/>
      <c r="B84" s="26" t="e">
        <f>AVERAGE(C84:AG84)</f>
        <v>#DIV/0!</v>
      </c>
      <c r="C84" s="74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6"/>
      <c r="Z84" s="45"/>
      <c r="AA84" s="45"/>
      <c r="AB84" s="47"/>
      <c r="AC84" s="47"/>
      <c r="AD84" s="47"/>
      <c r="AE84" s="22"/>
      <c r="AF84" s="22"/>
      <c r="AG84" s="22"/>
      <c r="AH84" s="64"/>
    </row>
    <row r="85" spans="1:34" ht="17.399999999999999" x14ac:dyDescent="0.3">
      <c r="A85" s="123"/>
      <c r="B85" s="29"/>
      <c r="C85" s="100"/>
      <c r="D85" s="101"/>
      <c r="E85" s="101"/>
      <c r="F85" s="101"/>
      <c r="G85" s="101"/>
      <c r="H85" s="101"/>
      <c r="I85" s="101"/>
      <c r="J85" s="101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6"/>
      <c r="Z85" s="45"/>
      <c r="AA85" s="68"/>
      <c r="AB85" s="68"/>
      <c r="AC85" s="68"/>
      <c r="AD85" s="68"/>
      <c r="AE85" s="22"/>
      <c r="AF85" s="22"/>
      <c r="AG85" s="22"/>
      <c r="AH85" s="34"/>
    </row>
    <row r="86" spans="1:34" ht="33.6" x14ac:dyDescent="0.3">
      <c r="A86" s="122" t="s">
        <v>44</v>
      </c>
      <c r="B86" s="113"/>
      <c r="C86" s="74" t="s">
        <v>7</v>
      </c>
      <c r="D86" s="45"/>
      <c r="E86" s="45"/>
      <c r="F86" s="45"/>
      <c r="G86" s="45" t="s">
        <v>6</v>
      </c>
      <c r="H86" s="46" t="s">
        <v>22</v>
      </c>
      <c r="I86" s="45" t="s">
        <v>6</v>
      </c>
      <c r="J86" s="45" t="s">
        <v>7</v>
      </c>
      <c r="K86" s="46" t="s">
        <v>14</v>
      </c>
      <c r="L86" s="45" t="s">
        <v>7</v>
      </c>
      <c r="M86" s="45"/>
      <c r="N86" s="45"/>
      <c r="O86" s="45"/>
      <c r="P86" s="45" t="s">
        <v>6</v>
      </c>
      <c r="Q86" s="46" t="s">
        <v>22</v>
      </c>
      <c r="R86" s="45" t="s">
        <v>6</v>
      </c>
      <c r="S86" s="45" t="s">
        <v>7</v>
      </c>
      <c r="T86" s="46" t="s">
        <v>14</v>
      </c>
      <c r="U86" s="45" t="s">
        <v>7</v>
      </c>
      <c r="V86" s="45"/>
      <c r="W86" s="45"/>
      <c r="X86" s="45"/>
      <c r="Y86" s="46" t="s">
        <v>6</v>
      </c>
      <c r="Z86" s="45" t="s">
        <v>6</v>
      </c>
      <c r="AA86" s="46" t="s">
        <v>22</v>
      </c>
      <c r="AB86" s="45" t="s">
        <v>7</v>
      </c>
      <c r="AC86" s="45" t="s">
        <v>7</v>
      </c>
      <c r="AD86" s="46" t="s">
        <v>14</v>
      </c>
      <c r="AE86" s="33"/>
      <c r="AF86" s="33"/>
      <c r="AG86" s="22"/>
      <c r="AH86" s="51">
        <f>COUNTIF(C86:AG86,"Д")+COUNTIF(C86:AG86,"Н")+COUNTIF(C86:AG86,"ПД")+COUNTIF(C86:AG86,"ПН")+COUNTIF(C86:AG86,"Д/8")</f>
        <v>19</v>
      </c>
    </row>
    <row r="87" spans="1:34" ht="17.399999999999999" x14ac:dyDescent="0.3">
      <c r="A87" s="122"/>
      <c r="B87" s="26" t="e">
        <f>AVERAGE(C87:AG87)</f>
        <v>#DIV/0!</v>
      </c>
      <c r="C87" s="74"/>
      <c r="D87" s="45"/>
      <c r="E87" s="101"/>
      <c r="F87" s="101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6"/>
      <c r="Z87" s="45"/>
      <c r="AA87" s="47"/>
      <c r="AB87" s="47"/>
      <c r="AC87" s="45"/>
      <c r="AD87" s="45"/>
      <c r="AE87" s="22"/>
      <c r="AF87" s="22"/>
      <c r="AG87" s="22"/>
      <c r="AH87" s="64"/>
    </row>
    <row r="88" spans="1:34" ht="18" thickBot="1" x14ac:dyDescent="0.35">
      <c r="A88" s="56"/>
      <c r="B88" s="57"/>
      <c r="C88" s="74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6"/>
      <c r="Z88" s="45"/>
      <c r="AA88" s="68"/>
      <c r="AB88" s="68"/>
      <c r="AC88" s="68"/>
      <c r="AD88" s="68"/>
      <c r="AE88" s="22"/>
      <c r="AF88" s="22"/>
      <c r="AG88" s="22"/>
      <c r="AH88" s="34"/>
    </row>
    <row r="89" spans="1:34" ht="67.8" thickBot="1" x14ac:dyDescent="0.35">
      <c r="A89" s="59" t="s">
        <v>11</v>
      </c>
      <c r="B89" s="60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124"/>
    </row>
    <row r="90" spans="1:34" ht="18" thickBot="1" x14ac:dyDescent="0.35">
      <c r="A90" s="12"/>
      <c r="B90" s="13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 t="s">
        <v>45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7"/>
      <c r="AH90" s="97"/>
    </row>
    <row r="91" spans="1:34" ht="33.6" x14ac:dyDescent="0.3">
      <c r="A91" s="54" t="s">
        <v>46</v>
      </c>
      <c r="B91" s="125"/>
      <c r="C91" s="45" t="s">
        <v>6</v>
      </c>
      <c r="D91" s="45" t="s">
        <v>6</v>
      </c>
      <c r="E91" s="45" t="s">
        <v>7</v>
      </c>
      <c r="F91" s="45" t="s">
        <v>7</v>
      </c>
      <c r="G91" s="45" t="s">
        <v>7</v>
      </c>
      <c r="H91" s="45"/>
      <c r="I91" s="45"/>
      <c r="J91" s="45"/>
      <c r="K91" s="45"/>
      <c r="L91" s="46" t="s">
        <v>22</v>
      </c>
      <c r="M91" s="45" t="s">
        <v>6</v>
      </c>
      <c r="N91" s="45" t="s">
        <v>6</v>
      </c>
      <c r="O91" s="45" t="s">
        <v>7</v>
      </c>
      <c r="P91" s="45" t="s">
        <v>7</v>
      </c>
      <c r="Q91" s="45" t="s">
        <v>7</v>
      </c>
      <c r="R91" s="45"/>
      <c r="S91" s="45"/>
      <c r="T91" s="45"/>
      <c r="U91" s="46" t="s">
        <v>22</v>
      </c>
      <c r="V91" s="45" t="s">
        <v>6</v>
      </c>
      <c r="W91" s="45" t="s">
        <v>6</v>
      </c>
      <c r="X91" s="45" t="s">
        <v>7</v>
      </c>
      <c r="Y91" s="66" t="s">
        <v>7</v>
      </c>
      <c r="Z91" s="45" t="s">
        <v>7</v>
      </c>
      <c r="AA91" s="47"/>
      <c r="AB91" s="47"/>
      <c r="AC91" s="47"/>
      <c r="AD91" s="46" t="s">
        <v>22</v>
      </c>
      <c r="AE91" s="22"/>
      <c r="AF91" s="22"/>
      <c r="AG91" s="23"/>
      <c r="AH91" s="39">
        <f>COUNTIF(C91:AG91,"Д")+COUNTIF(C91:AG91,"Н")+COUNTIF(C91:AG91,"ПД")+COUNTIF(C91:AG91,"ПН")+COUNTIF(C91:AG91,"Д/8")</f>
        <v>18</v>
      </c>
    </row>
    <row r="92" spans="1:34" ht="17.399999999999999" x14ac:dyDescent="0.3">
      <c r="A92" s="126"/>
      <c r="B92" s="26" t="e">
        <f>AVERAGE(C92:AG92)</f>
        <v>#DIV/0!</v>
      </c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7"/>
      <c r="Y92" s="46"/>
      <c r="Z92" s="47"/>
      <c r="AA92" s="47"/>
      <c r="AB92" s="47"/>
      <c r="AC92" s="47"/>
      <c r="AD92" s="47"/>
      <c r="AE92" s="22"/>
      <c r="AF92" s="22"/>
      <c r="AG92" s="23"/>
      <c r="AH92" s="64"/>
    </row>
    <row r="93" spans="1:34" ht="17.399999999999999" x14ac:dyDescent="0.3">
      <c r="A93" s="127"/>
      <c r="B93" s="29"/>
      <c r="C93" s="100"/>
      <c r="D93" s="101"/>
      <c r="E93" s="101"/>
      <c r="F93" s="101"/>
      <c r="G93" s="101"/>
      <c r="H93" s="101"/>
      <c r="I93" s="101"/>
      <c r="J93" s="101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66"/>
      <c r="Z93" s="45"/>
      <c r="AA93" s="68"/>
      <c r="AB93" s="68"/>
      <c r="AC93" s="68"/>
      <c r="AD93" s="68"/>
      <c r="AE93" s="33"/>
      <c r="AF93" s="33"/>
      <c r="AG93" s="23"/>
      <c r="AH93" s="34"/>
    </row>
    <row r="94" spans="1:34" ht="50.4" x14ac:dyDescent="0.3">
      <c r="A94" s="54" t="s">
        <v>47</v>
      </c>
      <c r="B94" s="128"/>
      <c r="C94" s="100" t="s">
        <v>7</v>
      </c>
      <c r="D94" s="45" t="s">
        <v>7</v>
      </c>
      <c r="E94" s="101"/>
      <c r="F94" s="45"/>
      <c r="G94" s="45"/>
      <c r="H94" s="45"/>
      <c r="I94" s="45" t="s">
        <v>6</v>
      </c>
      <c r="J94" s="45" t="s">
        <v>6</v>
      </c>
      <c r="K94" s="45" t="s">
        <v>6</v>
      </c>
      <c r="L94" s="45" t="s">
        <v>7</v>
      </c>
      <c r="M94" s="45" t="s">
        <v>7</v>
      </c>
      <c r="N94" s="45" t="s">
        <v>7</v>
      </c>
      <c r="O94" s="45"/>
      <c r="P94" s="66" t="s">
        <v>15</v>
      </c>
      <c r="Q94" s="66" t="s">
        <v>15</v>
      </c>
      <c r="R94" s="66" t="s">
        <v>15</v>
      </c>
      <c r="S94" s="66" t="s">
        <v>15</v>
      </c>
      <c r="T94" s="66" t="s">
        <v>15</v>
      </c>
      <c r="U94" s="66" t="s">
        <v>15</v>
      </c>
      <c r="V94" s="66" t="s">
        <v>15</v>
      </c>
      <c r="W94" s="66" t="s">
        <v>15</v>
      </c>
      <c r="X94" s="66" t="s">
        <v>15</v>
      </c>
      <c r="Y94" s="46"/>
      <c r="Z94" s="66" t="s">
        <v>15</v>
      </c>
      <c r="AA94" s="66" t="s">
        <v>15</v>
      </c>
      <c r="AB94" s="66" t="s">
        <v>15</v>
      </c>
      <c r="AC94" s="66" t="s">
        <v>15</v>
      </c>
      <c r="AD94" s="66" t="s">
        <v>15</v>
      </c>
      <c r="AE94" s="22"/>
      <c r="AF94" s="22"/>
      <c r="AG94" s="23"/>
      <c r="AH94" s="24">
        <f>COUNTIF(C94:AG94,"Д")+COUNTIF(C94:AG94,"Н")+COUNTIF(C94:AG94,"ПД")+COUNTIF(C94:AG94,"ПН")+COUNTIF(C94:AG94,"Д/8")</f>
        <v>8</v>
      </c>
    </row>
    <row r="95" spans="1:34" ht="16.8" x14ac:dyDescent="0.3">
      <c r="A95" s="126"/>
      <c r="B95" s="26" t="e">
        <f>AVERAGE(C95:AG95)</f>
        <v>#DIV/0!</v>
      </c>
      <c r="C95" s="100"/>
      <c r="D95" s="101"/>
      <c r="E95" s="101"/>
      <c r="F95" s="101"/>
      <c r="G95" s="101"/>
      <c r="H95" s="101"/>
      <c r="I95" s="101"/>
      <c r="J95" s="101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6"/>
      <c r="Z95" s="45"/>
      <c r="AA95" s="47"/>
      <c r="AB95" s="47"/>
      <c r="AC95" s="47"/>
      <c r="AD95" s="47"/>
      <c r="AE95" s="22"/>
      <c r="AF95" s="22"/>
      <c r="AG95" s="23"/>
      <c r="AH95" s="18"/>
    </row>
    <row r="96" spans="1:34" ht="17.399999999999999" x14ac:dyDescent="0.3">
      <c r="A96" s="127"/>
      <c r="B96" s="29"/>
      <c r="C96" s="74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6"/>
      <c r="Z96" s="45"/>
      <c r="AA96" s="68"/>
      <c r="AB96" s="68"/>
      <c r="AC96" s="68"/>
      <c r="AD96" s="68"/>
      <c r="AE96" s="22"/>
      <c r="AF96" s="22"/>
      <c r="AG96" s="22"/>
      <c r="AH96" s="34"/>
    </row>
    <row r="97" spans="1:34" ht="33.6" x14ac:dyDescent="0.3">
      <c r="A97" s="69" t="s">
        <v>48</v>
      </c>
      <c r="B97" s="128"/>
      <c r="C97" s="129"/>
      <c r="D97" s="129" t="s">
        <v>6</v>
      </c>
      <c r="E97" s="129" t="s">
        <v>7</v>
      </c>
      <c r="F97" s="129" t="s">
        <v>7</v>
      </c>
      <c r="G97" s="129" t="s">
        <v>7</v>
      </c>
      <c r="H97" s="129"/>
      <c r="I97" s="129"/>
      <c r="J97" s="129"/>
      <c r="K97" s="129"/>
      <c r="L97" s="129" t="s">
        <v>6</v>
      </c>
      <c r="M97" s="129" t="s">
        <v>6</v>
      </c>
      <c r="N97" s="129" t="s">
        <v>6</v>
      </c>
      <c r="O97" s="129" t="s">
        <v>7</v>
      </c>
      <c r="P97" s="129" t="s">
        <v>7</v>
      </c>
      <c r="Q97" s="46" t="s">
        <v>14</v>
      </c>
      <c r="R97" s="129"/>
      <c r="S97" s="129"/>
      <c r="T97" s="129"/>
      <c r="U97" s="129" t="s">
        <v>6</v>
      </c>
      <c r="V97" s="129" t="s">
        <v>6</v>
      </c>
      <c r="W97" s="129" t="s">
        <v>6</v>
      </c>
      <c r="X97" s="129" t="s">
        <v>7</v>
      </c>
      <c r="Y97" s="46" t="s">
        <v>7</v>
      </c>
      <c r="Z97" s="71" t="s">
        <v>7</v>
      </c>
      <c r="AA97" s="71"/>
      <c r="AB97" s="71"/>
      <c r="AC97" s="71"/>
      <c r="AD97" s="46" t="s">
        <v>22</v>
      </c>
      <c r="AE97" s="22"/>
      <c r="AF97" s="22"/>
      <c r="AG97" s="22"/>
      <c r="AH97" s="24">
        <f>COUNTIF(C97:AG97,"Д")+COUNTIF(C97:AG97,"Н")+COUNTIF(C97:AG97,"ПД")+COUNTIF(C97:AG97,"ПН")+COUNTIF(C97:AG97,"Д/8")</f>
        <v>17</v>
      </c>
    </row>
    <row r="98" spans="1:34" ht="67.2" x14ac:dyDescent="0.3">
      <c r="A98" s="130" t="s">
        <v>49</v>
      </c>
      <c r="B98" s="26" t="e">
        <f>AVERAGE(C98:AG98)</f>
        <v>#DIV/0!</v>
      </c>
      <c r="C98" s="131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46"/>
      <c r="Z98" s="132"/>
      <c r="AA98" s="132"/>
      <c r="AB98" s="132"/>
      <c r="AC98" s="132"/>
      <c r="AD98" s="132"/>
      <c r="AE98" s="22"/>
      <c r="AF98" s="22"/>
      <c r="AG98" s="23"/>
      <c r="AH98" s="18"/>
    </row>
    <row r="99" spans="1:34" ht="17.399999999999999" x14ac:dyDescent="0.3">
      <c r="A99" s="127"/>
      <c r="B99" s="29"/>
      <c r="C99" s="74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6"/>
      <c r="Z99" s="45"/>
      <c r="AA99" s="68"/>
      <c r="AB99" s="68"/>
      <c r="AC99" s="68"/>
      <c r="AD99" s="68"/>
      <c r="AE99" s="22"/>
      <c r="AF99" s="22"/>
      <c r="AG99" s="23"/>
      <c r="AH99" s="34"/>
    </row>
    <row r="100" spans="1:34" ht="50.4" x14ac:dyDescent="0.3">
      <c r="A100" s="54" t="s">
        <v>50</v>
      </c>
      <c r="B100" s="133"/>
      <c r="C100" s="74"/>
      <c r="D100" s="45"/>
      <c r="E100" s="45" t="s">
        <v>6</v>
      </c>
      <c r="F100" s="45" t="s">
        <v>6</v>
      </c>
      <c r="G100" s="45" t="s">
        <v>6</v>
      </c>
      <c r="H100" s="45" t="s">
        <v>7</v>
      </c>
      <c r="I100" s="45"/>
      <c r="J100" s="45"/>
      <c r="K100" s="45"/>
      <c r="L100" s="45"/>
      <c r="M100" s="45"/>
      <c r="N100" s="45"/>
      <c r="O100" s="46" t="s">
        <v>22</v>
      </c>
      <c r="P100" s="45" t="s">
        <v>6</v>
      </c>
      <c r="Q100" s="45" t="s">
        <v>6</v>
      </c>
      <c r="R100" s="45" t="s">
        <v>7</v>
      </c>
      <c r="S100" s="45" t="s">
        <v>7</v>
      </c>
      <c r="T100" s="46" t="s">
        <v>14</v>
      </c>
      <c r="U100" s="45"/>
      <c r="V100" s="45"/>
      <c r="W100" s="45"/>
      <c r="X100" s="45" t="s">
        <v>6</v>
      </c>
      <c r="Y100" s="66" t="s">
        <v>6</v>
      </c>
      <c r="Z100" s="47" t="s">
        <v>6</v>
      </c>
      <c r="AA100" s="47" t="s">
        <v>7</v>
      </c>
      <c r="AB100" s="47" t="s">
        <v>7</v>
      </c>
      <c r="AC100" s="46" t="s">
        <v>14</v>
      </c>
      <c r="AD100" s="45"/>
      <c r="AE100" s="33"/>
      <c r="AF100" s="33"/>
      <c r="AG100" s="23"/>
      <c r="AH100" s="51">
        <f>COUNTIF(C100:AG100,"Д")+COUNTIF(C100:AG100,"Н")+COUNTIF(C100:AG100,"ПД")+COUNTIF(C100:AG100,"ПН")+COUNTIF(C100:AG100,"Д/8")</f>
        <v>16</v>
      </c>
    </row>
    <row r="101" spans="1:34" ht="16.8" x14ac:dyDescent="0.3">
      <c r="A101" s="126"/>
      <c r="B101" s="26" t="e">
        <f>AVERAGE(C101:AG101)</f>
        <v>#DIV/0!</v>
      </c>
      <c r="C101" s="74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6"/>
      <c r="Z101" s="45"/>
      <c r="AA101" s="47"/>
      <c r="AB101" s="47"/>
      <c r="AC101" s="45"/>
      <c r="AD101" s="45"/>
      <c r="AE101" s="22"/>
      <c r="AF101" s="22"/>
      <c r="AG101" s="23"/>
      <c r="AH101" s="18"/>
    </row>
    <row r="102" spans="1:34" ht="17.399999999999999" x14ac:dyDescent="0.3">
      <c r="A102" s="127"/>
      <c r="B102" s="29"/>
      <c r="C102" s="74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7"/>
      <c r="Y102" s="66"/>
      <c r="Z102" s="47"/>
      <c r="AA102" s="68"/>
      <c r="AB102" s="68"/>
      <c r="AC102" s="68"/>
      <c r="AD102" s="68"/>
      <c r="AE102" s="22"/>
      <c r="AF102" s="22"/>
      <c r="AG102" s="23"/>
      <c r="AH102" s="34"/>
    </row>
    <row r="103" spans="1:34" ht="50.4" x14ac:dyDescent="0.3">
      <c r="A103" s="54" t="s">
        <v>51</v>
      </c>
      <c r="B103" s="76"/>
      <c r="C103" s="74"/>
      <c r="D103" s="101"/>
      <c r="E103" s="101"/>
      <c r="F103" s="101"/>
      <c r="G103" s="101"/>
      <c r="H103" s="101" t="s">
        <v>6</v>
      </c>
      <c r="I103" s="101" t="s">
        <v>7</v>
      </c>
      <c r="J103" s="101" t="s">
        <v>7</v>
      </c>
      <c r="K103" s="45" t="s">
        <v>7</v>
      </c>
      <c r="L103" s="45"/>
      <c r="M103" s="45"/>
      <c r="N103" s="45"/>
      <c r="O103" s="45"/>
      <c r="P103" s="45"/>
      <c r="Q103" s="45"/>
      <c r="R103" s="45" t="s">
        <v>6</v>
      </c>
      <c r="S103" s="45" t="s">
        <v>6</v>
      </c>
      <c r="T103" s="45" t="s">
        <v>6</v>
      </c>
      <c r="U103" s="45" t="s">
        <v>7</v>
      </c>
      <c r="V103" s="45" t="s">
        <v>7</v>
      </c>
      <c r="W103" s="45" t="s">
        <v>7</v>
      </c>
      <c r="X103" s="45"/>
      <c r="Y103" s="66"/>
      <c r="Z103" s="47"/>
      <c r="AA103" s="47" t="s">
        <v>6</v>
      </c>
      <c r="AB103" s="47" t="s">
        <v>6</v>
      </c>
      <c r="AC103" s="47" t="s">
        <v>6</v>
      </c>
      <c r="AD103" s="46" t="s">
        <v>14</v>
      </c>
      <c r="AE103" s="22"/>
      <c r="AF103" s="22"/>
      <c r="AG103" s="22"/>
      <c r="AH103" s="67">
        <f>COUNTIF(C103:AG103,"Д")+COUNTIF(C103:AG103,"Н")+COUNTIF(C103:AG103,"ПД")+COUNTIF(C103:AG103,"ПН")+COUNTIF(C103:AG103,"Д/8")</f>
        <v>14</v>
      </c>
    </row>
    <row r="104" spans="1:34" ht="16.8" x14ac:dyDescent="0.3">
      <c r="A104" s="126"/>
      <c r="B104" s="26" t="e">
        <f>AVERAGE(C104:AG104)</f>
        <v>#DIV/0!</v>
      </c>
      <c r="C104" s="74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6"/>
      <c r="Z104" s="45"/>
      <c r="AA104" s="47"/>
      <c r="AB104" s="47"/>
      <c r="AC104" s="47"/>
      <c r="AD104" s="47"/>
      <c r="AE104" s="22"/>
      <c r="AF104" s="22"/>
      <c r="AG104" s="22"/>
      <c r="AH104" s="18"/>
    </row>
    <row r="105" spans="1:34" ht="17.399999999999999" x14ac:dyDescent="0.3">
      <c r="A105" s="120"/>
      <c r="B105" s="57"/>
      <c r="C105" s="100"/>
      <c r="D105" s="101"/>
      <c r="E105" s="101"/>
      <c r="F105" s="101"/>
      <c r="G105" s="101"/>
      <c r="H105" s="101"/>
      <c r="I105" s="101"/>
      <c r="J105" s="101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6"/>
      <c r="Z105" s="45"/>
      <c r="AA105" s="68"/>
      <c r="AB105" s="68"/>
      <c r="AC105" s="68"/>
      <c r="AD105" s="68"/>
      <c r="AE105" s="22"/>
      <c r="AF105" s="22"/>
      <c r="AG105" s="22"/>
      <c r="AH105" s="34"/>
    </row>
    <row r="106" spans="1:34" ht="50.4" x14ac:dyDescent="0.3">
      <c r="A106" s="69" t="s">
        <v>52</v>
      </c>
      <c r="B106" s="76"/>
      <c r="C106" s="134" t="s">
        <v>7</v>
      </c>
      <c r="D106" s="134"/>
      <c r="E106" s="134"/>
      <c r="F106" s="134"/>
      <c r="G106" s="134"/>
      <c r="H106" s="134" t="s">
        <v>6</v>
      </c>
      <c r="I106" s="134" t="s">
        <v>7</v>
      </c>
      <c r="J106" s="134" t="s">
        <v>7</v>
      </c>
      <c r="K106" s="134" t="s">
        <v>7</v>
      </c>
      <c r="L106" s="134"/>
      <c r="M106" s="134"/>
      <c r="N106" s="134"/>
      <c r="O106" s="134"/>
      <c r="P106" s="134"/>
      <c r="Q106" s="134"/>
      <c r="R106" s="134"/>
      <c r="S106" s="134" t="s">
        <v>6</v>
      </c>
      <c r="T106" s="134" t="s">
        <v>6</v>
      </c>
      <c r="U106" s="134" t="s">
        <v>7</v>
      </c>
      <c r="V106" s="134" t="s">
        <v>7</v>
      </c>
      <c r="W106" s="134" t="s">
        <v>7</v>
      </c>
      <c r="X106" s="134"/>
      <c r="Y106" s="134"/>
      <c r="Z106" s="134"/>
      <c r="AA106" s="134"/>
      <c r="AB106" s="134" t="s">
        <v>6</v>
      </c>
      <c r="AC106" s="134" t="s">
        <v>6</v>
      </c>
      <c r="AD106" s="134" t="s">
        <v>7</v>
      </c>
      <c r="AE106" s="33"/>
      <c r="AF106" s="33"/>
      <c r="AG106" s="22"/>
      <c r="AH106" s="67">
        <f>COUNTIF(C106:AG106,"Д")+COUNTIF(C106:AG106,"Н")+COUNTIF(C106:AG106,"ПД")+COUNTIF(C106:AG106,"ПН")+COUNTIF(C106:AG106,"Д/8")</f>
        <v>13</v>
      </c>
    </row>
    <row r="107" spans="1:34" ht="50.4" x14ac:dyDescent="0.3">
      <c r="A107" s="72" t="s">
        <v>53</v>
      </c>
      <c r="B107" s="26" t="e">
        <f>AVERAGE(C107:AG107)</f>
        <v>#DIV/0!</v>
      </c>
      <c r="C107" s="74"/>
      <c r="D107" s="45"/>
      <c r="E107" s="101"/>
      <c r="F107" s="101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6"/>
      <c r="Z107" s="45"/>
      <c r="AA107" s="47"/>
      <c r="AB107" s="47"/>
      <c r="AC107" s="47"/>
      <c r="AD107" s="47"/>
      <c r="AE107" s="22"/>
      <c r="AF107" s="22"/>
      <c r="AG107" s="22"/>
      <c r="AH107" s="18"/>
    </row>
    <row r="108" spans="1:34" ht="18" thickBot="1" x14ac:dyDescent="0.35">
      <c r="A108" s="120"/>
      <c r="B108" s="57"/>
      <c r="C108" s="74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6"/>
      <c r="Z108" s="45"/>
      <c r="AA108" s="68"/>
      <c r="AB108" s="68"/>
      <c r="AC108" s="68"/>
      <c r="AD108" s="68"/>
      <c r="AE108" s="22"/>
      <c r="AF108" s="22"/>
      <c r="AG108" s="22"/>
      <c r="AH108" s="34"/>
    </row>
    <row r="109" spans="1:34" ht="67.8" thickBot="1" x14ac:dyDescent="0.35">
      <c r="A109" s="59" t="s">
        <v>29</v>
      </c>
      <c r="B109" s="135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136"/>
    </row>
    <row r="110" spans="1:34" ht="32.4" thickBot="1" x14ac:dyDescent="0.35">
      <c r="A110" s="96"/>
      <c r="B110" s="13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5" t="s">
        <v>54</v>
      </c>
      <c r="R110" s="14"/>
      <c r="S110" s="16" t="s">
        <v>2</v>
      </c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7"/>
      <c r="AH110" s="137"/>
    </row>
    <row r="111" spans="1:34" ht="33.6" x14ac:dyDescent="0.3">
      <c r="A111" s="54" t="s">
        <v>55</v>
      </c>
      <c r="B111" s="125" t="s">
        <v>2</v>
      </c>
      <c r="C111" s="138" t="s">
        <v>6</v>
      </c>
      <c r="D111" s="30" t="s">
        <v>7</v>
      </c>
      <c r="E111" s="30" t="s">
        <v>7</v>
      </c>
      <c r="F111" s="30"/>
      <c r="G111" s="30"/>
      <c r="H111" s="30"/>
      <c r="I111" s="30" t="s">
        <v>6</v>
      </c>
      <c r="J111" s="139" t="s">
        <v>6</v>
      </c>
      <c r="K111" s="139" t="s">
        <v>6</v>
      </c>
      <c r="L111" s="139" t="s">
        <v>7</v>
      </c>
      <c r="M111" s="30" t="s">
        <v>7</v>
      </c>
      <c r="N111" s="30"/>
      <c r="O111" s="30"/>
      <c r="P111" s="140" t="s">
        <v>15</v>
      </c>
      <c r="Q111" s="140" t="s">
        <v>15</v>
      </c>
      <c r="R111" s="140" t="s">
        <v>15</v>
      </c>
      <c r="S111" s="140" t="s">
        <v>15</v>
      </c>
      <c r="T111" s="140" t="s">
        <v>15</v>
      </c>
      <c r="U111" s="140" t="s">
        <v>15</v>
      </c>
      <c r="V111" s="140" t="s">
        <v>15</v>
      </c>
      <c r="W111" s="140" t="s">
        <v>15</v>
      </c>
      <c r="X111" s="140" t="s">
        <v>15</v>
      </c>
      <c r="Y111" s="140"/>
      <c r="Z111" s="140" t="s">
        <v>15</v>
      </c>
      <c r="AA111" s="140" t="s">
        <v>15</v>
      </c>
      <c r="AB111" s="140" t="s">
        <v>15</v>
      </c>
      <c r="AC111" s="140" t="s">
        <v>15</v>
      </c>
      <c r="AD111" s="140" t="s">
        <v>15</v>
      </c>
      <c r="AE111" s="22"/>
      <c r="AF111" s="22"/>
      <c r="AG111" s="23"/>
      <c r="AH111" s="39">
        <f>COUNTIF(C111:AG111,"Д")+COUNTIF(C111:AG111,"Н")+COUNTIF(C111:AG111,"ПД")+COUNTIF(C111:AG111,"ПН")+COUNTIF(C111:AG111,"Д/8")</f>
        <v>8</v>
      </c>
    </row>
    <row r="112" spans="1:34" ht="17.399999999999999" x14ac:dyDescent="0.3">
      <c r="A112" s="43"/>
      <c r="B112" s="26" t="e">
        <f>AVERAGE(C112:AG112)</f>
        <v>#DIV/0!</v>
      </c>
      <c r="C112" s="138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8"/>
      <c r="Y112" s="31"/>
      <c r="Z112" s="38"/>
      <c r="AA112" s="38"/>
      <c r="AB112" s="38"/>
      <c r="AC112" s="38"/>
      <c r="AD112" s="38"/>
      <c r="AE112" s="22"/>
      <c r="AF112" s="22"/>
      <c r="AG112" s="23"/>
      <c r="AH112" s="41"/>
    </row>
    <row r="113" spans="1:34" ht="17.399999999999999" x14ac:dyDescent="0.3">
      <c r="A113" s="127"/>
      <c r="B113" s="57"/>
      <c r="C113" s="141"/>
      <c r="D113" s="139"/>
      <c r="E113" s="139"/>
      <c r="F113" s="139"/>
      <c r="G113" s="139"/>
      <c r="H113" s="139"/>
      <c r="I113" s="139"/>
      <c r="J113" s="139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140"/>
      <c r="Z113" s="30"/>
      <c r="AA113" s="32"/>
      <c r="AB113" s="32"/>
      <c r="AC113" s="32"/>
      <c r="AD113" s="32"/>
      <c r="AE113" s="22"/>
      <c r="AF113" s="22"/>
      <c r="AG113" s="23"/>
      <c r="AH113" s="142"/>
    </row>
    <row r="114" spans="1:34" ht="33.6" x14ac:dyDescent="0.3">
      <c r="A114" s="43" t="s">
        <v>56</v>
      </c>
      <c r="B114" s="20" t="s">
        <v>2</v>
      </c>
      <c r="C114" s="138"/>
      <c r="D114" s="30" t="s">
        <v>6</v>
      </c>
      <c r="E114" s="30" t="s">
        <v>6</v>
      </c>
      <c r="F114" s="30" t="s">
        <v>7</v>
      </c>
      <c r="G114" s="30" t="s">
        <v>7</v>
      </c>
      <c r="H114" s="30"/>
      <c r="I114" s="30"/>
      <c r="J114" s="30"/>
      <c r="K114" s="30"/>
      <c r="L114" s="139" t="s">
        <v>6</v>
      </c>
      <c r="M114" s="139" t="s">
        <v>6</v>
      </c>
      <c r="N114" s="30" t="s">
        <v>7</v>
      </c>
      <c r="O114" s="30" t="s">
        <v>7</v>
      </c>
      <c r="P114" s="30"/>
      <c r="Q114" s="30"/>
      <c r="R114" s="30"/>
      <c r="S114" s="31" t="s">
        <v>22</v>
      </c>
      <c r="T114" s="139" t="s">
        <v>6</v>
      </c>
      <c r="U114" s="139" t="s">
        <v>6</v>
      </c>
      <c r="V114" s="139" t="s">
        <v>7</v>
      </c>
      <c r="W114" s="30" t="s">
        <v>7</v>
      </c>
      <c r="X114" s="30" t="s">
        <v>7</v>
      </c>
      <c r="Y114" s="31"/>
      <c r="Z114" s="30"/>
      <c r="AA114" s="30"/>
      <c r="AB114" s="30" t="s">
        <v>6</v>
      </c>
      <c r="AC114" s="30" t="s">
        <v>6</v>
      </c>
      <c r="AD114" s="31" t="s">
        <v>22</v>
      </c>
      <c r="AE114" s="33"/>
      <c r="AF114" s="33"/>
      <c r="AG114" s="23"/>
      <c r="AH114" s="24">
        <f>COUNTIF(C114:AG114,"Д")+COUNTIF(C114:AG114,"Н")+COUNTIF(C114:AG114,"ПД")+COUNTIF(C114:AG114,"ПН")+COUNTIF(C114:AG114,"Д/8")</f>
        <v>17</v>
      </c>
    </row>
    <row r="115" spans="1:34" ht="16.8" x14ac:dyDescent="0.3">
      <c r="A115" s="52"/>
      <c r="B115" s="26">
        <f>AVERAGE(C115:AG115)</f>
        <v>0</v>
      </c>
      <c r="C115" s="138"/>
      <c r="D115" s="30"/>
      <c r="E115" s="30"/>
      <c r="F115" s="30"/>
      <c r="G115" s="30"/>
      <c r="H115" s="30"/>
      <c r="I115" s="30"/>
      <c r="J115" s="30"/>
      <c r="K115" s="30"/>
      <c r="L115" s="143">
        <v>0</v>
      </c>
      <c r="M115" s="143">
        <v>0</v>
      </c>
      <c r="N115" s="143">
        <v>0</v>
      </c>
      <c r="O115" s="143">
        <v>0</v>
      </c>
      <c r="P115" s="30"/>
      <c r="Q115" s="30"/>
      <c r="R115" s="30"/>
      <c r="S115" s="30"/>
      <c r="T115" s="30"/>
      <c r="U115" s="30"/>
      <c r="V115" s="30"/>
      <c r="W115" s="30"/>
      <c r="X115" s="30"/>
      <c r="Y115" s="31"/>
      <c r="Z115" s="30"/>
      <c r="AA115" s="38"/>
      <c r="AB115" s="38"/>
      <c r="AC115" s="38"/>
      <c r="AD115" s="38"/>
      <c r="AE115" s="22"/>
      <c r="AF115" s="22"/>
      <c r="AG115" s="23"/>
      <c r="AH115" s="18"/>
    </row>
    <row r="116" spans="1:34" ht="17.399999999999999" x14ac:dyDescent="0.3">
      <c r="A116" s="56"/>
      <c r="B116" s="57"/>
      <c r="C116" s="138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8"/>
      <c r="Y116" s="31"/>
      <c r="Z116" s="38"/>
      <c r="AA116" s="32"/>
      <c r="AB116" s="32"/>
      <c r="AC116" s="32"/>
      <c r="AD116" s="32"/>
      <c r="AE116" s="22"/>
      <c r="AF116" s="22"/>
      <c r="AG116" s="23"/>
      <c r="AH116" s="34"/>
    </row>
    <row r="117" spans="1:34" ht="50.4" x14ac:dyDescent="0.3">
      <c r="A117" s="54" t="s">
        <v>57</v>
      </c>
      <c r="B117" s="65" t="s">
        <v>2</v>
      </c>
      <c r="C117" s="141" t="s">
        <v>7</v>
      </c>
      <c r="D117" s="139"/>
      <c r="E117" s="139"/>
      <c r="F117" s="139"/>
      <c r="G117" s="139"/>
      <c r="H117" s="139" t="s">
        <v>6</v>
      </c>
      <c r="I117" s="30"/>
      <c r="J117" s="139" t="s">
        <v>7</v>
      </c>
      <c r="K117" s="30" t="s">
        <v>7</v>
      </c>
      <c r="L117" s="30"/>
      <c r="M117" s="30"/>
      <c r="N117" s="30"/>
      <c r="O117" s="30"/>
      <c r="P117" s="31" t="s">
        <v>22</v>
      </c>
      <c r="Q117" s="139" t="s">
        <v>6</v>
      </c>
      <c r="R117" s="139" t="s">
        <v>6</v>
      </c>
      <c r="S117" s="30" t="s">
        <v>7</v>
      </c>
      <c r="T117" s="30" t="s">
        <v>7</v>
      </c>
      <c r="U117" s="31" t="s">
        <v>14</v>
      </c>
      <c r="V117" s="30"/>
      <c r="W117" s="30"/>
      <c r="X117" s="30"/>
      <c r="Y117" s="31" t="s">
        <v>6</v>
      </c>
      <c r="Z117" s="30" t="s">
        <v>6</v>
      </c>
      <c r="AA117" s="30" t="s">
        <v>6</v>
      </c>
      <c r="AB117" s="30" t="s">
        <v>7</v>
      </c>
      <c r="AC117" s="30" t="s">
        <v>7</v>
      </c>
      <c r="AD117" s="31" t="s">
        <v>14</v>
      </c>
      <c r="AE117" s="22"/>
      <c r="AF117" s="22"/>
      <c r="AG117" s="22"/>
      <c r="AH117" s="67">
        <f>COUNTIF(C117:AG117,"Д")+COUNTIF(C117:AG117,"Н")+COUNTIF(C117:AG117,"ПД")+COUNTIF(C117:AG117,"ПН")+COUNTIF(C117:AG117,"Д/8")</f>
        <v>16</v>
      </c>
    </row>
    <row r="118" spans="1:34" ht="17.399999999999999" x14ac:dyDescent="0.3">
      <c r="A118" s="43"/>
      <c r="B118" s="26" t="e">
        <f>AVERAGE(C118:AG118)</f>
        <v>#DIV/0!</v>
      </c>
      <c r="C118" s="138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1"/>
      <c r="Z118" s="30"/>
      <c r="AA118" s="38"/>
      <c r="AB118" s="38"/>
      <c r="AC118" s="38"/>
      <c r="AD118" s="38"/>
      <c r="AE118" s="22"/>
      <c r="AF118" s="22"/>
      <c r="AG118" s="22"/>
      <c r="AH118" s="27"/>
    </row>
    <row r="119" spans="1:34" ht="17.399999999999999" x14ac:dyDescent="0.3">
      <c r="A119" s="56"/>
      <c r="B119" s="57"/>
      <c r="C119" s="141"/>
      <c r="D119" s="139"/>
      <c r="E119" s="139"/>
      <c r="F119" s="139"/>
      <c r="G119" s="139"/>
      <c r="H119" s="139"/>
      <c r="I119" s="139"/>
      <c r="J119" s="139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1"/>
      <c r="Z119" s="30"/>
      <c r="AA119" s="32"/>
      <c r="AB119" s="32"/>
      <c r="AC119" s="32"/>
      <c r="AD119" s="32"/>
      <c r="AE119" s="22"/>
      <c r="AF119" s="22"/>
      <c r="AG119" s="22"/>
      <c r="AH119" s="34"/>
    </row>
    <row r="120" spans="1:34" ht="33.6" x14ac:dyDescent="0.3">
      <c r="A120" s="43" t="s">
        <v>58</v>
      </c>
      <c r="B120" s="133" t="s">
        <v>2</v>
      </c>
      <c r="C120" s="138"/>
      <c r="D120" s="30"/>
      <c r="E120" s="30"/>
      <c r="F120" s="30" t="s">
        <v>6</v>
      </c>
      <c r="G120" s="30" t="s">
        <v>6</v>
      </c>
      <c r="H120" s="30" t="s">
        <v>7</v>
      </c>
      <c r="I120" s="30" t="s">
        <v>7</v>
      </c>
      <c r="J120" s="30"/>
      <c r="K120" s="30"/>
      <c r="L120" s="30"/>
      <c r="M120" s="30"/>
      <c r="N120" s="30" t="s">
        <v>6</v>
      </c>
      <c r="O120" s="30" t="s">
        <v>6</v>
      </c>
      <c r="P120" s="30" t="s">
        <v>7</v>
      </c>
      <c r="Q120" s="31" t="s">
        <v>14</v>
      </c>
      <c r="R120" s="30" t="s">
        <v>7</v>
      </c>
      <c r="S120" s="30"/>
      <c r="T120" s="30"/>
      <c r="U120" s="30"/>
      <c r="V120" s="30" t="s">
        <v>6</v>
      </c>
      <c r="W120" s="30" t="s">
        <v>6</v>
      </c>
      <c r="X120" s="30" t="s">
        <v>6</v>
      </c>
      <c r="Y120" s="31" t="s">
        <v>7</v>
      </c>
      <c r="Z120" s="30" t="s">
        <v>7</v>
      </c>
      <c r="AA120" s="31" t="s">
        <v>14</v>
      </c>
      <c r="AB120" s="38"/>
      <c r="AC120" s="38"/>
      <c r="AD120" s="38"/>
      <c r="AE120" s="33"/>
      <c r="AF120" s="33"/>
      <c r="AG120" s="22"/>
      <c r="AH120" s="51">
        <f>COUNTIF(C120:AG120,"Д")+COUNTIF(C120:AG120,"Н")+COUNTIF(C120:AG120,"ПД")+COUNTIF(C120:AG120,"ПН")+COUNTIF(C120:AG120,"Д/8")</f>
        <v>15</v>
      </c>
    </row>
    <row r="121" spans="1:34" ht="17.399999999999999" x14ac:dyDescent="0.3">
      <c r="A121" s="122"/>
      <c r="B121" s="26" t="e">
        <f>AVERAGE(C121:AG121)</f>
        <v>#DIV/0!</v>
      </c>
      <c r="C121" s="138"/>
      <c r="D121" s="30"/>
      <c r="E121" s="139"/>
      <c r="F121" s="139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1"/>
      <c r="Z121" s="30"/>
      <c r="AA121" s="38"/>
      <c r="AB121" s="38"/>
      <c r="AC121" s="38"/>
      <c r="AD121" s="38"/>
      <c r="AE121" s="22"/>
      <c r="AF121" s="22"/>
      <c r="AG121" s="22"/>
      <c r="AH121" s="27"/>
    </row>
    <row r="122" spans="1:34" ht="18" thickBot="1" x14ac:dyDescent="0.35">
      <c r="A122" s="56"/>
      <c r="B122" s="57"/>
      <c r="C122" s="74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6"/>
      <c r="Z122" s="45"/>
      <c r="AA122" s="68"/>
      <c r="AB122" s="68"/>
      <c r="AC122" s="68"/>
      <c r="AD122" s="68"/>
      <c r="AE122" s="22"/>
      <c r="AF122" s="22"/>
      <c r="AG122" s="22"/>
      <c r="AH122" s="34"/>
    </row>
    <row r="123" spans="1:34" ht="67.8" thickBot="1" x14ac:dyDescent="0.35">
      <c r="A123" s="59" t="s">
        <v>11</v>
      </c>
      <c r="B123" s="60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3"/>
    </row>
    <row r="124" spans="1:34" ht="18" thickBot="1" x14ac:dyDescent="0.35">
      <c r="A124" s="96"/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 t="s">
        <v>59</v>
      </c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7"/>
      <c r="AH124" s="109"/>
    </row>
    <row r="125" spans="1:34" ht="50.4" x14ac:dyDescent="0.3">
      <c r="A125" s="54" t="s">
        <v>60</v>
      </c>
      <c r="B125" s="76"/>
      <c r="C125" s="74"/>
      <c r="D125" s="66" t="s">
        <v>15</v>
      </c>
      <c r="E125" s="66" t="s">
        <v>15</v>
      </c>
      <c r="F125" s="66" t="s">
        <v>15</v>
      </c>
      <c r="G125" s="66" t="s">
        <v>15</v>
      </c>
      <c r="H125" s="66" t="s">
        <v>15</v>
      </c>
      <c r="I125" s="66" t="s">
        <v>15</v>
      </c>
      <c r="J125" s="66" t="s">
        <v>15</v>
      </c>
      <c r="K125" s="66" t="s">
        <v>15</v>
      </c>
      <c r="L125" s="66" t="s">
        <v>15</v>
      </c>
      <c r="M125" s="66" t="s">
        <v>15</v>
      </c>
      <c r="N125" s="66" t="s">
        <v>15</v>
      </c>
      <c r="O125" s="66" t="s">
        <v>15</v>
      </c>
      <c r="P125" s="66" t="s">
        <v>15</v>
      </c>
      <c r="Q125" s="66" t="s">
        <v>15</v>
      </c>
      <c r="R125" s="45"/>
      <c r="S125" s="45"/>
      <c r="T125" s="45" t="s">
        <v>6</v>
      </c>
      <c r="U125" s="45" t="s">
        <v>6</v>
      </c>
      <c r="V125" s="45" t="s">
        <v>7</v>
      </c>
      <c r="W125" s="45" t="s">
        <v>7</v>
      </c>
      <c r="X125" s="45"/>
      <c r="Y125" s="66"/>
      <c r="Z125" s="45"/>
      <c r="AA125" s="47"/>
      <c r="AB125" s="47" t="s">
        <v>6</v>
      </c>
      <c r="AC125" s="47" t="s">
        <v>6</v>
      </c>
      <c r="AD125" s="47" t="s">
        <v>7</v>
      </c>
      <c r="AE125" s="22"/>
      <c r="AF125" s="22"/>
      <c r="AG125" s="23"/>
      <c r="AH125" s="67">
        <f>COUNTIF(C125:AG125,"Д")+COUNTIF(C125:AG125,"Н")+COUNTIF(C125:AG125,"ПД")+COUNTIF(C125:AG125,"ПН")+COUNTIF(C125:AG125,"Д/8")</f>
        <v>7</v>
      </c>
    </row>
    <row r="126" spans="1:34" ht="17.399999999999999" x14ac:dyDescent="0.3">
      <c r="A126" s="43"/>
      <c r="B126" s="26" t="e">
        <f>AVERAGE(C126:AG126)</f>
        <v>#DIV/0!</v>
      </c>
      <c r="C126" s="138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1"/>
      <c r="Z126" s="38"/>
      <c r="AA126" s="38"/>
      <c r="AB126" s="38"/>
      <c r="AC126" s="38"/>
      <c r="AD126" s="38"/>
      <c r="AE126" s="22"/>
      <c r="AF126" s="22"/>
      <c r="AG126" s="23"/>
      <c r="AH126" s="27"/>
    </row>
    <row r="127" spans="1:34" ht="17.399999999999999" x14ac:dyDescent="0.3">
      <c r="A127" s="127"/>
      <c r="B127" s="57"/>
      <c r="C127" s="141"/>
      <c r="D127" s="139"/>
      <c r="E127" s="139"/>
      <c r="F127" s="139"/>
      <c r="G127" s="139"/>
      <c r="H127" s="139"/>
      <c r="I127" s="139"/>
      <c r="J127" s="139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140"/>
      <c r="Z127" s="30"/>
      <c r="AA127" s="32"/>
      <c r="AB127" s="32"/>
      <c r="AC127" s="32"/>
      <c r="AD127" s="32"/>
      <c r="AE127" s="33"/>
      <c r="AF127" s="33"/>
      <c r="AG127" s="23"/>
      <c r="AH127" s="142"/>
    </row>
    <row r="128" spans="1:34" ht="50.4" x14ac:dyDescent="0.3">
      <c r="A128" s="54" t="s">
        <v>61</v>
      </c>
      <c r="B128" s="125"/>
      <c r="C128" s="138" t="s">
        <v>6</v>
      </c>
      <c r="D128" s="30" t="s">
        <v>7</v>
      </c>
      <c r="E128" s="30" t="s">
        <v>7</v>
      </c>
      <c r="F128" s="30"/>
      <c r="G128" s="30"/>
      <c r="H128" s="30"/>
      <c r="I128" s="30"/>
      <c r="J128" s="139" t="s">
        <v>6</v>
      </c>
      <c r="K128" s="139" t="s">
        <v>6</v>
      </c>
      <c r="L128" s="139" t="s">
        <v>7</v>
      </c>
      <c r="M128" s="30" t="s">
        <v>7</v>
      </c>
      <c r="N128" s="30"/>
      <c r="O128" s="30"/>
      <c r="P128" s="30"/>
      <c r="Q128" s="30"/>
      <c r="R128" s="30" t="s">
        <v>6</v>
      </c>
      <c r="S128" s="144" t="s">
        <v>6</v>
      </c>
      <c r="T128" s="144" t="s">
        <v>7</v>
      </c>
      <c r="U128" s="30" t="s">
        <v>7</v>
      </c>
      <c r="V128" s="30"/>
      <c r="W128" s="30"/>
      <c r="X128" s="30"/>
      <c r="Y128" s="31"/>
      <c r="Z128" s="30" t="s">
        <v>6</v>
      </c>
      <c r="AA128" s="30" t="s">
        <v>6</v>
      </c>
      <c r="AB128" s="144" t="s">
        <v>7</v>
      </c>
      <c r="AC128" s="38" t="s">
        <v>7</v>
      </c>
      <c r="AD128" s="38"/>
      <c r="AE128" s="22"/>
      <c r="AF128" s="22"/>
      <c r="AG128" s="23"/>
      <c r="AH128" s="39">
        <f>COUNTIF(C128:AG128,"Д")+COUNTIF(C128:AG128,"Н")+COUNTIF(C128:AG128,"ПД")+COUNTIF(C128:AG128,"ПН")+COUNTIF(C128:AG128,"Д/8")</f>
        <v>15</v>
      </c>
    </row>
    <row r="129" spans="1:34" ht="17.399999999999999" x14ac:dyDescent="0.3">
      <c r="A129" s="43"/>
      <c r="B129" s="26" t="e">
        <f>AVERAGE(C129:AG129)</f>
        <v>#DIV/0!</v>
      </c>
      <c r="C129" s="138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1"/>
      <c r="Z129" s="30"/>
      <c r="AA129" s="30"/>
      <c r="AB129" s="30"/>
      <c r="AC129" s="30"/>
      <c r="AD129" s="38"/>
      <c r="AE129" s="22"/>
      <c r="AF129" s="22"/>
      <c r="AG129" s="23"/>
      <c r="AH129" s="64"/>
    </row>
    <row r="130" spans="1:34" ht="17.399999999999999" x14ac:dyDescent="0.3">
      <c r="A130" s="145"/>
      <c r="B130" s="146"/>
      <c r="C130" s="138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1"/>
      <c r="Z130" s="38"/>
      <c r="AA130" s="32"/>
      <c r="AB130" s="32"/>
      <c r="AC130" s="32"/>
      <c r="AD130" s="32"/>
      <c r="AE130" s="22"/>
      <c r="AF130" s="22"/>
      <c r="AG130" s="23"/>
      <c r="AH130" s="34"/>
    </row>
    <row r="131" spans="1:34" ht="50.4" x14ac:dyDescent="0.3">
      <c r="A131" s="69" t="s">
        <v>62</v>
      </c>
      <c r="B131" s="147"/>
      <c r="C131" s="148" t="s">
        <v>6</v>
      </c>
      <c r="D131" s="148" t="s">
        <v>7</v>
      </c>
      <c r="E131" s="148" t="s">
        <v>7</v>
      </c>
      <c r="F131" s="148"/>
      <c r="G131" s="148"/>
      <c r="H131" s="148"/>
      <c r="I131" s="148"/>
      <c r="J131" s="148" t="s">
        <v>6</v>
      </c>
      <c r="K131" s="148" t="s">
        <v>6</v>
      </c>
      <c r="L131" s="148" t="s">
        <v>7</v>
      </c>
      <c r="M131" s="148" t="s">
        <v>7</v>
      </c>
      <c r="N131" s="148"/>
      <c r="O131" s="148"/>
      <c r="P131" s="148"/>
      <c r="Q131" s="148"/>
      <c r="R131" s="148" t="s">
        <v>6</v>
      </c>
      <c r="S131" s="148" t="s">
        <v>6</v>
      </c>
      <c r="T131" s="148" t="s">
        <v>7</v>
      </c>
      <c r="U131" s="148" t="s">
        <v>7</v>
      </c>
      <c r="V131" s="148"/>
      <c r="W131" s="148"/>
      <c r="X131" s="148"/>
      <c r="Y131" s="31"/>
      <c r="Z131" s="148" t="s">
        <v>6</v>
      </c>
      <c r="AA131" s="148" t="s">
        <v>6</v>
      </c>
      <c r="AB131" s="148" t="s">
        <v>7</v>
      </c>
      <c r="AC131" s="148" t="s">
        <v>7</v>
      </c>
      <c r="AD131" s="148"/>
      <c r="AE131" s="33"/>
      <c r="AF131" s="33"/>
      <c r="AG131" s="23"/>
      <c r="AH131" s="39">
        <f>COUNTIF(C131:AG131,"Д")+COUNTIF(C131:AG131,"Н")+COUNTIF(C131:AG131,"ПД")+COUNTIF(C131:AG131,"ПН")+COUNTIF(C131:AG131,"Д/8")</f>
        <v>15</v>
      </c>
    </row>
    <row r="132" spans="1:34" ht="50.4" x14ac:dyDescent="0.3">
      <c r="A132" s="149" t="s">
        <v>63</v>
      </c>
      <c r="B132" s="73" t="e">
        <f>AVERAGE(C132:AG132)</f>
        <v>#DIV/0!</v>
      </c>
      <c r="C132" s="138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1"/>
      <c r="Z132" s="30"/>
      <c r="AA132" s="38"/>
      <c r="AB132" s="38"/>
      <c r="AC132" s="38"/>
      <c r="AD132" s="38"/>
      <c r="AE132" s="22"/>
      <c r="AF132" s="22"/>
      <c r="AG132" s="23"/>
      <c r="AH132" s="64"/>
    </row>
    <row r="133" spans="1:34" ht="17.399999999999999" x14ac:dyDescent="0.3">
      <c r="A133" s="145"/>
      <c r="B133" s="146"/>
      <c r="C133" s="138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8"/>
      <c r="Y133" s="31"/>
      <c r="Z133" s="38"/>
      <c r="AA133" s="32"/>
      <c r="AB133" s="32"/>
      <c r="AC133" s="32"/>
      <c r="AD133" s="32"/>
      <c r="AE133" s="22"/>
      <c r="AF133" s="22"/>
      <c r="AG133" s="23"/>
      <c r="AH133" s="34"/>
    </row>
    <row r="134" spans="1:34" ht="33.6" x14ac:dyDescent="0.3">
      <c r="A134" s="43" t="s">
        <v>64</v>
      </c>
      <c r="B134" s="133"/>
      <c r="C134" s="141"/>
      <c r="D134" s="139"/>
      <c r="E134" s="139"/>
      <c r="F134" s="30" t="s">
        <v>6</v>
      </c>
      <c r="G134" s="30" t="s">
        <v>6</v>
      </c>
      <c r="H134" s="30" t="s">
        <v>7</v>
      </c>
      <c r="I134" s="30" t="s">
        <v>7</v>
      </c>
      <c r="J134" s="30"/>
      <c r="K134" s="30"/>
      <c r="L134" s="30"/>
      <c r="M134" s="30"/>
      <c r="N134" s="30" t="s">
        <v>6</v>
      </c>
      <c r="O134" s="30" t="s">
        <v>6</v>
      </c>
      <c r="P134" s="30" t="s">
        <v>7</v>
      </c>
      <c r="Q134" s="30" t="s">
        <v>7</v>
      </c>
      <c r="R134" s="30"/>
      <c r="S134" s="30"/>
      <c r="T134" s="30"/>
      <c r="U134" s="30"/>
      <c r="V134" s="30" t="s">
        <v>6</v>
      </c>
      <c r="W134" s="30" t="s">
        <v>6</v>
      </c>
      <c r="X134" s="30" t="s">
        <v>7</v>
      </c>
      <c r="Y134" s="31" t="s">
        <v>7</v>
      </c>
      <c r="Z134" s="30"/>
      <c r="AA134" s="38"/>
      <c r="AB134" s="38"/>
      <c r="AC134" s="30"/>
      <c r="AD134" s="30" t="s">
        <v>6</v>
      </c>
      <c r="AE134" s="22"/>
      <c r="AF134" s="22"/>
      <c r="AG134" s="22"/>
      <c r="AH134" s="51">
        <f>COUNTIF(C134:AG134,"Д")+COUNTIF(C134:AG134,"Н")+COUNTIF(C134:AG134,"ПД")+COUNTIF(C134:AG134,"ПН")+COUNTIF(C134:AG134,"Д/8")</f>
        <v>13</v>
      </c>
    </row>
    <row r="135" spans="1:34" ht="17.399999999999999" x14ac:dyDescent="0.3">
      <c r="A135" s="126"/>
      <c r="B135" s="26" t="e">
        <f>AVERAGE(C135:AG135)</f>
        <v>#DIV/0!</v>
      </c>
      <c r="C135" s="138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1"/>
      <c r="Z135" s="30"/>
      <c r="AA135" s="38"/>
      <c r="AB135" s="38"/>
      <c r="AC135" s="38"/>
      <c r="AD135" s="38"/>
      <c r="AE135" s="22"/>
      <c r="AF135" s="22"/>
      <c r="AG135" s="22"/>
      <c r="AH135" s="27"/>
    </row>
    <row r="136" spans="1:34" ht="17.399999999999999" x14ac:dyDescent="0.3">
      <c r="A136" s="127"/>
      <c r="B136" s="150"/>
      <c r="C136" s="141"/>
      <c r="D136" s="139"/>
      <c r="E136" s="139"/>
      <c r="F136" s="139"/>
      <c r="G136" s="139"/>
      <c r="H136" s="139"/>
      <c r="I136" s="139"/>
      <c r="J136" s="139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1"/>
      <c r="Z136" s="30"/>
      <c r="AA136" s="32"/>
      <c r="AB136" s="32"/>
      <c r="AC136" s="32"/>
      <c r="AD136" s="32"/>
      <c r="AE136" s="22"/>
      <c r="AF136" s="22"/>
      <c r="AG136" s="22"/>
      <c r="AH136" s="142"/>
    </row>
    <row r="137" spans="1:34" ht="33.6" x14ac:dyDescent="0.3">
      <c r="A137" s="54" t="s">
        <v>65</v>
      </c>
      <c r="B137" s="125"/>
      <c r="C137" s="138"/>
      <c r="D137" s="30" t="s">
        <v>6</v>
      </c>
      <c r="E137" s="30" t="s">
        <v>6</v>
      </c>
      <c r="F137" s="30" t="s">
        <v>7</v>
      </c>
      <c r="G137" s="30" t="s">
        <v>7</v>
      </c>
      <c r="H137" s="30"/>
      <c r="I137" s="30"/>
      <c r="J137" s="30"/>
      <c r="K137" s="30"/>
      <c r="L137" s="139" t="s">
        <v>6</v>
      </c>
      <c r="M137" s="139" t="s">
        <v>6</v>
      </c>
      <c r="N137" s="139" t="s">
        <v>7</v>
      </c>
      <c r="O137" s="30" t="s">
        <v>7</v>
      </c>
      <c r="P137" s="30"/>
      <c r="Q137" s="30"/>
      <c r="R137" s="30"/>
      <c r="S137" s="30" t="s">
        <v>6</v>
      </c>
      <c r="T137" s="30" t="s">
        <v>7</v>
      </c>
      <c r="U137" s="30"/>
      <c r="V137" s="30"/>
      <c r="W137" s="30"/>
      <c r="X137" s="30" t="s">
        <v>6</v>
      </c>
      <c r="Y137" s="140" t="s">
        <v>6</v>
      </c>
      <c r="Z137" s="30" t="s">
        <v>7</v>
      </c>
      <c r="AA137" s="38" t="s">
        <v>7</v>
      </c>
      <c r="AB137" s="38" t="s">
        <v>7</v>
      </c>
      <c r="AC137" s="38"/>
      <c r="AD137" s="151"/>
      <c r="AE137" s="33"/>
      <c r="AF137" s="33"/>
      <c r="AG137" s="22"/>
      <c r="AH137" s="152">
        <f>COUNTIF(C137:AG137,"Д")+COUNTIF(C137:AG137,"Н")+COUNTIF(C137:AG137,"ПД")+COUNTIF(C137:AG137,"ПН")+COUNTIF(C137:AG137,"Д/8")</f>
        <v>15</v>
      </c>
    </row>
    <row r="138" spans="1:34" ht="17.399999999999999" x14ac:dyDescent="0.3">
      <c r="A138" s="52"/>
      <c r="B138" s="26" t="e">
        <f>AVERAGE(C138:AG138)</f>
        <v>#DIV/0!</v>
      </c>
      <c r="C138" s="138"/>
      <c r="D138" s="30"/>
      <c r="E138" s="139"/>
      <c r="F138" s="139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1"/>
      <c r="Z138" s="38"/>
      <c r="AA138" s="38"/>
      <c r="AB138" s="38"/>
      <c r="AC138" s="38"/>
      <c r="AD138" s="153"/>
      <c r="AE138" s="22"/>
      <c r="AF138" s="22"/>
      <c r="AG138" s="22"/>
      <c r="AH138" s="64"/>
    </row>
    <row r="139" spans="1:34" ht="18" thickBot="1" x14ac:dyDescent="0.35">
      <c r="A139" s="120"/>
      <c r="B139" s="57"/>
      <c r="C139" s="138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1"/>
      <c r="Z139" s="30"/>
      <c r="AA139" s="32"/>
      <c r="AB139" s="154"/>
      <c r="AC139" s="154"/>
      <c r="AD139" s="154"/>
      <c r="AE139" s="22"/>
      <c r="AF139" s="22"/>
      <c r="AG139" s="22"/>
      <c r="AH139" s="34"/>
    </row>
    <row r="140" spans="1:34" ht="67.8" thickBot="1" x14ac:dyDescent="0.35">
      <c r="A140" s="59" t="s">
        <v>29</v>
      </c>
      <c r="B140" s="60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155"/>
    </row>
    <row r="141" spans="1:34" ht="32.4" thickBot="1" x14ac:dyDescent="0.35">
      <c r="A141" s="96"/>
      <c r="B141" s="13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5" t="s">
        <v>66</v>
      </c>
      <c r="R141" s="14"/>
      <c r="S141" s="16" t="s">
        <v>2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56"/>
      <c r="AH141" s="109"/>
    </row>
    <row r="142" spans="1:34" ht="50.4" x14ac:dyDescent="0.3">
      <c r="A142" s="43" t="s">
        <v>67</v>
      </c>
      <c r="B142" s="76" t="s">
        <v>2</v>
      </c>
      <c r="C142" s="157" t="s">
        <v>7</v>
      </c>
      <c r="D142" s="158" t="s">
        <v>7</v>
      </c>
      <c r="E142" s="158" t="s">
        <v>7</v>
      </c>
      <c r="F142" s="158"/>
      <c r="G142" s="158"/>
      <c r="H142" s="158"/>
      <c r="I142" s="158" t="s">
        <v>6</v>
      </c>
      <c r="J142" s="158" t="s">
        <v>6</v>
      </c>
      <c r="K142" s="159" t="s">
        <v>22</v>
      </c>
      <c r="L142" s="158" t="s">
        <v>7</v>
      </c>
      <c r="M142" s="158" t="s">
        <v>7</v>
      </c>
      <c r="N142" s="158" t="s">
        <v>7</v>
      </c>
      <c r="O142" s="158"/>
      <c r="P142" s="158"/>
      <c r="Q142" s="158"/>
      <c r="R142" s="158" t="s">
        <v>6</v>
      </c>
      <c r="S142" s="159" t="s">
        <v>14</v>
      </c>
      <c r="T142" s="30" t="s">
        <v>7</v>
      </c>
      <c r="U142" s="30"/>
      <c r="V142" s="30"/>
      <c r="W142" s="30"/>
      <c r="X142" s="30"/>
      <c r="Y142" s="140" t="s">
        <v>6</v>
      </c>
      <c r="Z142" s="30" t="s">
        <v>6</v>
      </c>
      <c r="AA142" s="38" t="s">
        <v>7</v>
      </c>
      <c r="AB142" s="31" t="s">
        <v>14</v>
      </c>
      <c r="AC142" s="38"/>
      <c r="AD142" s="38"/>
      <c r="AE142" s="22"/>
      <c r="AF142" s="22"/>
      <c r="AG142" s="22"/>
      <c r="AH142" s="67">
        <f>COUNTIF(C142:AG142,"Д")+COUNTIF(C142:AG142,"Н")+COUNTIF(C142:AG142,"ПД")+COUNTIF(C142:AG142,"ПН")+COUNTIF(C142:AG142,"Д/8")</f>
        <v>16</v>
      </c>
    </row>
    <row r="143" spans="1:34" ht="16.8" x14ac:dyDescent="0.3">
      <c r="A143" s="122"/>
      <c r="B143" s="26" t="e">
        <f>AVERAGE(C143:AG143)</f>
        <v>#DIV/0!</v>
      </c>
      <c r="C143" s="138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8"/>
      <c r="Y143" s="31"/>
      <c r="Z143" s="38"/>
      <c r="AA143" s="38"/>
      <c r="AB143" s="38"/>
      <c r="AC143" s="38"/>
      <c r="AD143" s="38"/>
      <c r="AE143" s="22"/>
      <c r="AF143" s="22"/>
      <c r="AG143" s="22"/>
      <c r="AH143" s="160"/>
    </row>
    <row r="144" spans="1:34" ht="16.8" x14ac:dyDescent="0.3">
      <c r="A144" s="48"/>
      <c r="B144" s="57"/>
      <c r="C144" s="141"/>
      <c r="D144" s="139"/>
      <c r="E144" s="139"/>
      <c r="F144" s="139"/>
      <c r="G144" s="139"/>
      <c r="H144" s="139"/>
      <c r="I144" s="139"/>
      <c r="J144" s="139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140"/>
      <c r="Z144" s="30"/>
      <c r="AA144" s="32"/>
      <c r="AB144" s="32"/>
      <c r="AC144" s="32"/>
      <c r="AD144" s="32"/>
      <c r="AE144" s="22"/>
      <c r="AF144" s="22"/>
      <c r="AG144" s="22"/>
      <c r="AH144" s="103"/>
    </row>
    <row r="145" spans="1:34" ht="50.4" x14ac:dyDescent="0.3">
      <c r="A145" s="161" t="s">
        <v>68</v>
      </c>
      <c r="B145" s="65"/>
      <c r="C145" s="162"/>
      <c r="D145" s="163" t="s">
        <v>6</v>
      </c>
      <c r="E145" s="163" t="s">
        <v>6</v>
      </c>
      <c r="F145" s="163" t="s">
        <v>7</v>
      </c>
      <c r="G145" s="163" t="s">
        <v>7</v>
      </c>
      <c r="H145" s="163"/>
      <c r="I145" s="163"/>
      <c r="J145" s="163"/>
      <c r="K145" s="163"/>
      <c r="L145" s="163"/>
      <c r="M145" s="163" t="s">
        <v>6</v>
      </c>
      <c r="N145" s="163" t="s">
        <v>6</v>
      </c>
      <c r="O145" s="163" t="s">
        <v>7</v>
      </c>
      <c r="P145" s="163" t="s">
        <v>7</v>
      </c>
      <c r="Q145" s="163"/>
      <c r="R145" s="163"/>
      <c r="S145" s="163"/>
      <c r="T145" s="163"/>
      <c r="U145" s="163" t="s">
        <v>6</v>
      </c>
      <c r="V145" s="163" t="s">
        <v>6</v>
      </c>
      <c r="W145" s="163" t="s">
        <v>7</v>
      </c>
      <c r="X145" s="164" t="s">
        <v>7</v>
      </c>
      <c r="Y145" s="31"/>
      <c r="Z145" s="163"/>
      <c r="AA145" s="163"/>
      <c r="AB145" s="163"/>
      <c r="AC145" s="163"/>
      <c r="AD145" s="163" t="s">
        <v>6</v>
      </c>
      <c r="AE145" s="22"/>
      <c r="AF145" s="22"/>
      <c r="AG145" s="22"/>
      <c r="AH145" s="165">
        <f>COUNTIF(C145:AG145,"Д")+COUNTIF(C145:AG145,"Н")+COUNTIF(C145:AG145,"ПД")+COUNTIF(C145:AG145,"ПН")+COUNTIF(C145:AG145,"Д/8")</f>
        <v>13</v>
      </c>
    </row>
    <row r="146" spans="1:34" ht="18" thickBot="1" x14ac:dyDescent="0.35">
      <c r="A146" s="166" t="s">
        <v>69</v>
      </c>
      <c r="B146" s="26" t="e">
        <f>AVERAGE(C146:AG146)</f>
        <v>#DIV/0!</v>
      </c>
      <c r="C146" s="141"/>
      <c r="D146" s="139"/>
      <c r="E146" s="139"/>
      <c r="F146" s="139"/>
      <c r="G146" s="139"/>
      <c r="H146" s="139"/>
      <c r="I146" s="139"/>
      <c r="J146" s="139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140"/>
      <c r="Z146" s="30"/>
      <c r="AA146" s="38"/>
      <c r="AB146" s="38"/>
      <c r="AC146" s="38"/>
      <c r="AD146" s="38"/>
      <c r="AE146" s="22"/>
      <c r="AF146" s="22"/>
      <c r="AG146" s="22"/>
      <c r="AH146" s="64"/>
    </row>
    <row r="147" spans="1:34" ht="18" thickBot="1" x14ac:dyDescent="0.35">
      <c r="A147" s="167" t="s">
        <v>70</v>
      </c>
      <c r="B147" s="57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140"/>
      <c r="Z147" s="38"/>
      <c r="AA147" s="32"/>
      <c r="AB147" s="32"/>
      <c r="AC147" s="32"/>
      <c r="AD147" s="32"/>
      <c r="AE147" s="22"/>
      <c r="AF147" s="22"/>
      <c r="AG147" s="22"/>
      <c r="AH147" s="34"/>
    </row>
    <row r="148" spans="1:34" ht="16.8" x14ac:dyDescent="0.3">
      <c r="A148" s="168" t="s">
        <v>71</v>
      </c>
      <c r="B148" s="169"/>
      <c r="C148" s="164" t="s">
        <v>7</v>
      </c>
      <c r="D148" s="164" t="s">
        <v>7</v>
      </c>
      <c r="E148" s="164" t="s">
        <v>7</v>
      </c>
      <c r="F148" s="164"/>
      <c r="G148" s="164"/>
      <c r="H148" s="164"/>
      <c r="I148" s="164"/>
      <c r="J148" s="164" t="s">
        <v>6</v>
      </c>
      <c r="K148" s="164" t="s">
        <v>6</v>
      </c>
      <c r="L148" s="164" t="s">
        <v>7</v>
      </c>
      <c r="M148" s="164" t="s">
        <v>7</v>
      </c>
      <c r="N148" s="164"/>
      <c r="O148" s="164"/>
      <c r="P148" s="164"/>
      <c r="Q148" s="164"/>
      <c r="R148" s="164" t="s">
        <v>6</v>
      </c>
      <c r="S148" s="164" t="s">
        <v>7</v>
      </c>
      <c r="T148" s="164" t="s">
        <v>7</v>
      </c>
      <c r="U148" s="164"/>
      <c r="V148" s="164"/>
      <c r="W148" s="164"/>
      <c r="X148" s="164"/>
      <c r="Y148" s="140"/>
      <c r="Z148" s="164" t="s">
        <v>6</v>
      </c>
      <c r="AA148" s="164" t="s">
        <v>7</v>
      </c>
      <c r="AB148" s="164" t="s">
        <v>7</v>
      </c>
      <c r="AC148" s="164"/>
      <c r="AD148" s="164"/>
      <c r="AE148" s="170"/>
      <c r="AF148" s="170"/>
      <c r="AG148" s="22"/>
      <c r="AH148" s="67">
        <f>COUNTIF(C148:AG148,"Д")+COUNTIF(C148:AG148,"Н")+COUNTIF(C148:AG148,"ПД")+COUNTIF(C148:AG148,"ПН")+COUNTIF(C148:AG148,"Д/8")</f>
        <v>13</v>
      </c>
    </row>
    <row r="149" spans="1:34" ht="18" thickBot="1" x14ac:dyDescent="0.35">
      <c r="A149" s="166" t="s">
        <v>72</v>
      </c>
      <c r="B149" s="40" t="e">
        <f>AVERAGE(C149:AG149)</f>
        <v>#DIV/0!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1"/>
      <c r="Z149" s="38"/>
      <c r="AA149" s="38"/>
      <c r="AB149" s="38"/>
      <c r="AC149" s="38"/>
      <c r="AD149" s="38"/>
      <c r="AE149" s="22"/>
      <c r="AF149" s="22"/>
      <c r="AG149" s="22"/>
      <c r="AH149" s="64"/>
    </row>
    <row r="150" spans="1:34" ht="18" thickBot="1" x14ac:dyDescent="0.35">
      <c r="A150" s="167" t="s">
        <v>70</v>
      </c>
      <c r="B150" s="171"/>
      <c r="C150" s="138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1"/>
      <c r="Z150" s="30"/>
      <c r="AA150" s="32"/>
      <c r="AB150" s="32"/>
      <c r="AC150" s="32"/>
      <c r="AD150" s="32"/>
      <c r="AE150" s="22"/>
      <c r="AF150" s="22"/>
      <c r="AG150" s="22"/>
      <c r="AH150" s="34"/>
    </row>
    <row r="151" spans="1:34" ht="16.8" x14ac:dyDescent="0.3">
      <c r="A151" s="172" t="s">
        <v>73</v>
      </c>
      <c r="B151" s="84"/>
      <c r="C151" s="173"/>
      <c r="D151" s="174"/>
      <c r="E151" s="174"/>
      <c r="F151" s="174"/>
      <c r="G151" s="174" t="s">
        <v>6</v>
      </c>
      <c r="H151" s="174" t="s">
        <v>6</v>
      </c>
      <c r="I151" s="174" t="s">
        <v>7</v>
      </c>
      <c r="J151" s="174" t="s">
        <v>7</v>
      </c>
      <c r="K151" s="163"/>
      <c r="L151" s="163"/>
      <c r="M151" s="163"/>
      <c r="N151" s="163"/>
      <c r="O151" s="163" t="s">
        <v>6</v>
      </c>
      <c r="P151" s="163" t="s">
        <v>6</v>
      </c>
      <c r="Q151" s="163" t="s">
        <v>6</v>
      </c>
      <c r="R151" s="163" t="s">
        <v>7</v>
      </c>
      <c r="S151" s="163"/>
      <c r="T151" s="163"/>
      <c r="U151" s="163"/>
      <c r="V151" s="163"/>
      <c r="W151" s="163" t="s">
        <v>6</v>
      </c>
      <c r="X151" s="163" t="s">
        <v>6</v>
      </c>
      <c r="Y151" s="175" t="s">
        <v>7</v>
      </c>
      <c r="Z151" s="176" t="s">
        <v>7</v>
      </c>
      <c r="AA151" s="164" t="s">
        <v>7</v>
      </c>
      <c r="AB151" s="164"/>
      <c r="AC151" s="176"/>
      <c r="AD151" s="177"/>
      <c r="AE151" s="170"/>
      <c r="AF151" s="170"/>
      <c r="AG151" s="22"/>
      <c r="AH151" s="51">
        <f>COUNTIF(C151:AG151,"Д")+COUNTIF(C151:AG151,"Н")+COUNTIF(C151:AG151,"ПД")+COUNTIF(C151:AG151,"ПН")+COUNTIF(C151:AG151,"Д/8")</f>
        <v>13</v>
      </c>
    </row>
    <row r="152" spans="1:34" ht="18" thickBot="1" x14ac:dyDescent="0.35">
      <c r="A152" s="166" t="s">
        <v>74</v>
      </c>
      <c r="B152" s="26" t="e">
        <f>AVERAGE(C152:AG152)</f>
        <v>#DIV/0!</v>
      </c>
      <c r="C152" s="138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175"/>
      <c r="Z152" s="38"/>
      <c r="AA152" s="38"/>
      <c r="AB152" s="38"/>
      <c r="AC152" s="38"/>
      <c r="AD152" s="178"/>
      <c r="AE152" s="22"/>
      <c r="AF152" s="22"/>
      <c r="AG152" s="22"/>
      <c r="AH152" s="64"/>
    </row>
    <row r="153" spans="1:34" ht="18" thickBot="1" x14ac:dyDescent="0.35">
      <c r="A153" s="167" t="s">
        <v>70</v>
      </c>
      <c r="B153" s="150"/>
      <c r="C153" s="141"/>
      <c r="D153" s="139"/>
      <c r="E153" s="139"/>
      <c r="F153" s="139"/>
      <c r="G153" s="139"/>
      <c r="H153" s="139"/>
      <c r="I153" s="139"/>
      <c r="J153" s="139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175"/>
      <c r="Z153" s="32"/>
      <c r="AA153" s="32"/>
      <c r="AB153" s="32"/>
      <c r="AC153" s="32"/>
      <c r="AD153" s="32"/>
      <c r="AE153" s="22"/>
      <c r="AF153" s="22"/>
      <c r="AG153" s="22"/>
      <c r="AH153" s="34"/>
    </row>
    <row r="154" spans="1:34" ht="33.6" x14ac:dyDescent="0.3">
      <c r="A154" s="179" t="s">
        <v>41</v>
      </c>
      <c r="B154" s="180"/>
      <c r="C154" s="181"/>
      <c r="D154" s="181"/>
      <c r="E154" s="181" t="s">
        <v>6</v>
      </c>
      <c r="F154" s="181" t="s">
        <v>6</v>
      </c>
      <c r="G154" s="181" t="s">
        <v>6</v>
      </c>
      <c r="H154" s="181"/>
      <c r="I154" s="181"/>
      <c r="J154" s="181"/>
      <c r="K154" s="182" t="s">
        <v>6</v>
      </c>
      <c r="L154" s="182" t="s">
        <v>6</v>
      </c>
      <c r="M154" s="182" t="s">
        <v>6</v>
      </c>
      <c r="N154" s="182" t="s">
        <v>7</v>
      </c>
      <c r="O154" s="182"/>
      <c r="P154" s="140" t="s">
        <v>15</v>
      </c>
      <c r="Q154" s="140" t="s">
        <v>15</v>
      </c>
      <c r="R154" s="140" t="s">
        <v>15</v>
      </c>
      <c r="S154" s="140" t="s">
        <v>15</v>
      </c>
      <c r="T154" s="140" t="s">
        <v>15</v>
      </c>
      <c r="U154" s="140" t="s">
        <v>15</v>
      </c>
      <c r="V154" s="140" t="s">
        <v>15</v>
      </c>
      <c r="W154" s="140" t="s">
        <v>15</v>
      </c>
      <c r="X154" s="140" t="s">
        <v>15</v>
      </c>
      <c r="Y154" s="183"/>
      <c r="Z154" s="183" t="s">
        <v>15</v>
      </c>
      <c r="AA154" s="183" t="s">
        <v>15</v>
      </c>
      <c r="AB154" s="183" t="s">
        <v>15</v>
      </c>
      <c r="AC154" s="183" t="s">
        <v>15</v>
      </c>
      <c r="AD154" s="183" t="s">
        <v>15</v>
      </c>
      <c r="AE154" s="170"/>
      <c r="AF154" s="22"/>
      <c r="AG154" s="170"/>
      <c r="AH154" s="67">
        <f>COUNTIF(C154:AG154,"Д")+COUNTIF(C154:AG154,"Н")+COUNTIF(C154:AG154,"ПД")+COUNTIF(C154:AG154,"ПН")+COUNTIF(C154:AG154,"Д/8")</f>
        <v>7</v>
      </c>
    </row>
    <row r="155" spans="1:34" ht="17.399999999999999" x14ac:dyDescent="0.3">
      <c r="A155" s="184"/>
      <c r="B155" s="53" t="e">
        <f>AVERAGE(C155:AG155)</f>
        <v>#DIV/0!</v>
      </c>
      <c r="C155" s="141"/>
      <c r="D155" s="139"/>
      <c r="E155" s="139"/>
      <c r="F155" s="139"/>
      <c r="G155" s="139"/>
      <c r="H155" s="139"/>
      <c r="I155" s="139"/>
      <c r="J155" s="139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1"/>
      <c r="Z155" s="30"/>
      <c r="AA155" s="38"/>
      <c r="AB155" s="38"/>
      <c r="AC155" s="38"/>
      <c r="AD155" s="38"/>
      <c r="AE155" s="22"/>
      <c r="AF155" s="22"/>
      <c r="AG155" s="22"/>
      <c r="AH155" s="64"/>
    </row>
    <row r="156" spans="1:34" ht="17.399999999999999" x14ac:dyDescent="0.3">
      <c r="A156" s="120"/>
      <c r="B156" s="29"/>
      <c r="C156" s="141"/>
      <c r="D156" s="139"/>
      <c r="E156" s="139"/>
      <c r="F156" s="139"/>
      <c r="G156" s="139"/>
      <c r="H156" s="139"/>
      <c r="I156" s="139"/>
      <c r="J156" s="139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8"/>
      <c r="Y156" s="140"/>
      <c r="Z156" s="38"/>
      <c r="AA156" s="32"/>
      <c r="AB156" s="32"/>
      <c r="AC156" s="32"/>
      <c r="AD156" s="32"/>
      <c r="AE156" s="22"/>
      <c r="AF156" s="22"/>
      <c r="AG156" s="22"/>
      <c r="AH156" s="34"/>
    </row>
    <row r="157" spans="1:34" ht="33.6" x14ac:dyDescent="0.3">
      <c r="A157" s="43" t="s">
        <v>75</v>
      </c>
      <c r="B157" s="20" t="s">
        <v>2</v>
      </c>
      <c r="C157" s="141"/>
      <c r="D157" s="139"/>
      <c r="E157" s="139"/>
      <c r="F157" s="139" t="s">
        <v>6</v>
      </c>
      <c r="G157" s="139" t="s">
        <v>6</v>
      </c>
      <c r="H157" s="139" t="s">
        <v>6</v>
      </c>
      <c r="I157" s="139" t="s">
        <v>7</v>
      </c>
      <c r="J157" s="139" t="s">
        <v>7</v>
      </c>
      <c r="K157" s="30" t="s">
        <v>7</v>
      </c>
      <c r="L157" s="30"/>
      <c r="M157" s="30"/>
      <c r="N157" s="30"/>
      <c r="O157" s="30" t="s">
        <v>6</v>
      </c>
      <c r="P157" s="30" t="s">
        <v>6</v>
      </c>
      <c r="Q157" s="30" t="s">
        <v>6</v>
      </c>
      <c r="R157" s="30" t="s">
        <v>7</v>
      </c>
      <c r="S157" s="30"/>
      <c r="T157" s="30"/>
      <c r="U157" s="30"/>
      <c r="V157" s="30" t="s">
        <v>6</v>
      </c>
      <c r="W157" s="30" t="s">
        <v>6</v>
      </c>
      <c r="X157" s="30" t="s">
        <v>6</v>
      </c>
      <c r="Y157" s="31" t="s">
        <v>7</v>
      </c>
      <c r="Z157" s="30" t="s">
        <v>7</v>
      </c>
      <c r="AA157" s="185"/>
      <c r="AB157" s="185"/>
      <c r="AC157" s="185"/>
      <c r="AD157" s="185"/>
      <c r="AE157" s="22"/>
      <c r="AF157" s="22"/>
      <c r="AG157" s="22"/>
      <c r="AH157" s="24">
        <f>COUNTIF(C157:AG157,"Д")+COUNTIF(C157:AG157,"Н")+COUNTIF(C157:AG157,"ПД")+COUNTIF(C157:AG157,"ПН")+COUNTIF(C157:AG157,"Д/8")</f>
        <v>15</v>
      </c>
    </row>
    <row r="158" spans="1:34" ht="17.399999999999999" x14ac:dyDescent="0.3">
      <c r="A158" s="122"/>
      <c r="B158" s="26" t="e">
        <f>AVERAGE(C158:AG158)</f>
        <v>#DIV/0!</v>
      </c>
      <c r="C158" s="138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1"/>
      <c r="Z158" s="30"/>
      <c r="AA158" s="38"/>
      <c r="AB158" s="38"/>
      <c r="AC158" s="38"/>
      <c r="AD158" s="38"/>
      <c r="AE158" s="22"/>
      <c r="AF158" s="22"/>
      <c r="AG158" s="22"/>
      <c r="AH158" s="41"/>
    </row>
    <row r="159" spans="1:34" ht="17.399999999999999" x14ac:dyDescent="0.3">
      <c r="A159" s="48"/>
      <c r="B159" s="57"/>
      <c r="C159" s="138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8"/>
      <c r="Y159" s="31"/>
      <c r="Z159" s="38"/>
      <c r="AA159" s="32"/>
      <c r="AB159" s="32"/>
      <c r="AC159" s="32"/>
      <c r="AD159" s="32"/>
      <c r="AE159" s="22"/>
      <c r="AF159" s="22"/>
      <c r="AG159" s="22"/>
      <c r="AH159" s="34"/>
    </row>
    <row r="160" spans="1:34" ht="50.4" x14ac:dyDescent="0.3">
      <c r="A160" s="122" t="s">
        <v>76</v>
      </c>
      <c r="B160" s="125"/>
      <c r="C160" s="141" t="s">
        <v>6</v>
      </c>
      <c r="D160" s="139" t="s">
        <v>6</v>
      </c>
      <c r="E160" s="139" t="s">
        <v>6</v>
      </c>
      <c r="F160" s="139" t="s">
        <v>7</v>
      </c>
      <c r="G160" s="139" t="s">
        <v>7</v>
      </c>
      <c r="H160" s="139" t="s">
        <v>7</v>
      </c>
      <c r="I160" s="139"/>
      <c r="J160" s="139"/>
      <c r="K160" s="30"/>
      <c r="L160" s="30" t="s">
        <v>6</v>
      </c>
      <c r="M160" s="30" t="s">
        <v>6</v>
      </c>
      <c r="N160" s="31" t="s">
        <v>22</v>
      </c>
      <c r="O160" s="30" t="s">
        <v>7</v>
      </c>
      <c r="P160" s="30" t="s">
        <v>7</v>
      </c>
      <c r="Q160" s="30" t="s">
        <v>7</v>
      </c>
      <c r="R160" s="30"/>
      <c r="S160" s="30"/>
      <c r="T160" s="30"/>
      <c r="U160" s="30" t="s">
        <v>6</v>
      </c>
      <c r="V160" s="30"/>
      <c r="W160" s="30" t="s">
        <v>7</v>
      </c>
      <c r="X160" s="30" t="s">
        <v>7</v>
      </c>
      <c r="Y160" s="31"/>
      <c r="Z160" s="38"/>
      <c r="AA160" s="38"/>
      <c r="AB160" s="38"/>
      <c r="AC160" s="38" t="s">
        <v>6</v>
      </c>
      <c r="AD160" s="31" t="s">
        <v>22</v>
      </c>
      <c r="AE160" s="22"/>
      <c r="AF160" s="22"/>
      <c r="AG160" s="22"/>
      <c r="AH160" s="39">
        <f>COUNTIF(C160:AG160,"Д")+COUNTIF(C160:AG160,"Н")+COUNTIF(C160:AG160,"ПД")+COUNTIF(C160:AG160,"ПН")+COUNTIF(C160:AG160,"Д/8")</f>
        <v>17</v>
      </c>
    </row>
    <row r="161" spans="1:34" ht="16.8" x14ac:dyDescent="0.3">
      <c r="A161" s="186"/>
      <c r="B161" s="187" t="e">
        <f>AVERAGE(C161:AG161)</f>
        <v>#DIV/0!</v>
      </c>
      <c r="C161" s="138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1"/>
      <c r="Z161" s="30"/>
      <c r="AA161" s="38"/>
      <c r="AB161" s="38"/>
      <c r="AC161" s="38"/>
      <c r="AD161" s="38"/>
      <c r="AE161" s="22"/>
      <c r="AF161" s="22"/>
      <c r="AG161" s="22"/>
      <c r="AH161" s="188"/>
    </row>
    <row r="162" spans="1:34" ht="16.8" x14ac:dyDescent="0.3">
      <c r="A162" s="48"/>
      <c r="B162" s="57"/>
      <c r="C162" s="141"/>
      <c r="D162" s="139"/>
      <c r="E162" s="139"/>
      <c r="F162" s="139"/>
      <c r="G162" s="139"/>
      <c r="H162" s="139"/>
      <c r="I162" s="139"/>
      <c r="J162" s="139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1"/>
      <c r="Z162" s="30"/>
      <c r="AA162" s="32"/>
      <c r="AB162" s="32"/>
      <c r="AC162" s="32"/>
      <c r="AD162" s="32"/>
      <c r="AE162" s="22"/>
      <c r="AF162" s="22"/>
      <c r="AG162" s="22"/>
      <c r="AH162" s="103"/>
    </row>
    <row r="163" spans="1:34" ht="33.6" x14ac:dyDescent="0.3">
      <c r="A163" s="54" t="s">
        <v>77</v>
      </c>
      <c r="B163" s="133"/>
      <c r="C163" s="140" t="s">
        <v>15</v>
      </c>
      <c r="D163" s="140" t="s">
        <v>15</v>
      </c>
      <c r="E163" s="140" t="s">
        <v>15</v>
      </c>
      <c r="F163" s="140" t="s">
        <v>15</v>
      </c>
      <c r="G163" s="140" t="s">
        <v>15</v>
      </c>
      <c r="H163" s="140" t="s">
        <v>15</v>
      </c>
      <c r="I163" s="140" t="s">
        <v>15</v>
      </c>
      <c r="J163" s="140" t="s">
        <v>15</v>
      </c>
      <c r="K163" s="140" t="s">
        <v>15</v>
      </c>
      <c r="L163" s="140" t="s">
        <v>15</v>
      </c>
      <c r="M163" s="140" t="s">
        <v>15</v>
      </c>
      <c r="N163" s="140" t="s">
        <v>15</v>
      </c>
      <c r="O163" s="140" t="s">
        <v>15</v>
      </c>
      <c r="P163" s="140" t="s">
        <v>15</v>
      </c>
      <c r="Q163" s="30"/>
      <c r="R163" s="30"/>
      <c r="S163" s="30" t="s">
        <v>6</v>
      </c>
      <c r="T163" s="30" t="s">
        <v>6</v>
      </c>
      <c r="U163" s="30" t="s">
        <v>7</v>
      </c>
      <c r="V163" s="30" t="s">
        <v>7</v>
      </c>
      <c r="W163" s="30"/>
      <c r="X163" s="30"/>
      <c r="Y163" s="31"/>
      <c r="Z163" s="30"/>
      <c r="AA163" s="38" t="s">
        <v>6</v>
      </c>
      <c r="AB163" s="38" t="s">
        <v>6</v>
      </c>
      <c r="AC163" s="38" t="s">
        <v>7</v>
      </c>
      <c r="AD163" s="31" t="s">
        <v>14</v>
      </c>
      <c r="AE163" s="170"/>
      <c r="AF163" s="170"/>
      <c r="AG163" s="170"/>
      <c r="AH163" s="51">
        <f>COUNTIF(C163:AG163,"Д")+COUNTIF(C163:AG163,"Н")+COUNTIF(C163:AG163,"ПД")+COUNTIF(C163:AG163,"ПН")+COUNTIF(C163:AG163,"Д/8")</f>
        <v>8</v>
      </c>
    </row>
    <row r="164" spans="1:34" ht="16.8" x14ac:dyDescent="0.3">
      <c r="A164" s="52"/>
      <c r="B164" s="26" t="e">
        <f>AVERAGE(C164:AG164)</f>
        <v>#DIV/0!</v>
      </c>
      <c r="C164" s="138"/>
      <c r="D164" s="30"/>
      <c r="E164" s="139"/>
      <c r="F164" s="139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1"/>
      <c r="Z164" s="30"/>
      <c r="AA164" s="38"/>
      <c r="AB164" s="38"/>
      <c r="AC164" s="185"/>
      <c r="AD164" s="185"/>
      <c r="AE164" s="22"/>
      <c r="AF164" s="22"/>
      <c r="AG164" s="22"/>
      <c r="AH164" s="188"/>
    </row>
    <row r="165" spans="1:34" ht="18" thickBot="1" x14ac:dyDescent="0.35">
      <c r="A165" s="120"/>
      <c r="B165" s="29"/>
      <c r="C165" s="74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6"/>
      <c r="Z165" s="45"/>
      <c r="AA165" s="68"/>
      <c r="AB165" s="68"/>
      <c r="AC165" s="68"/>
      <c r="AD165" s="68"/>
      <c r="AE165" s="22"/>
      <c r="AF165" s="22"/>
      <c r="AG165" s="22"/>
      <c r="AH165" s="34"/>
    </row>
    <row r="166" spans="1:34" ht="67.8" thickBot="1" x14ac:dyDescent="0.35">
      <c r="A166" s="59" t="s">
        <v>11</v>
      </c>
      <c r="B166" s="60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189"/>
      <c r="AC166" s="189"/>
      <c r="AD166" s="62"/>
      <c r="AE166" s="62"/>
      <c r="AF166" s="62"/>
      <c r="AG166" s="62"/>
      <c r="AH166" s="190"/>
    </row>
    <row r="167" spans="1:34" ht="18" thickBot="1" x14ac:dyDescent="0.35">
      <c r="A167" s="96"/>
      <c r="B167" s="13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 t="s">
        <v>78</v>
      </c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7"/>
      <c r="AH167" s="109"/>
    </row>
    <row r="168" spans="1:34" ht="50.4" x14ac:dyDescent="0.3">
      <c r="A168" s="54" t="s">
        <v>79</v>
      </c>
      <c r="B168" s="76"/>
      <c r="C168" s="74" t="s">
        <v>6</v>
      </c>
      <c r="D168" s="45" t="s">
        <v>6</v>
      </c>
      <c r="E168" s="45" t="s">
        <v>7</v>
      </c>
      <c r="F168" s="46" t="s">
        <v>14</v>
      </c>
      <c r="G168" s="45" t="s">
        <v>7</v>
      </c>
      <c r="H168" s="45"/>
      <c r="I168" s="45"/>
      <c r="J168" s="45"/>
      <c r="K168" s="45" t="s">
        <v>6</v>
      </c>
      <c r="L168" s="45" t="s">
        <v>6</v>
      </c>
      <c r="M168" s="46" t="s">
        <v>22</v>
      </c>
      <c r="N168" s="45" t="s">
        <v>7</v>
      </c>
      <c r="O168" s="45" t="s">
        <v>7</v>
      </c>
      <c r="P168" s="46" t="s">
        <v>14</v>
      </c>
      <c r="Q168" s="45"/>
      <c r="R168" s="45"/>
      <c r="S168" s="45"/>
      <c r="T168" s="45"/>
      <c r="U168" s="45" t="s">
        <v>7</v>
      </c>
      <c r="V168" s="45" t="s">
        <v>7</v>
      </c>
      <c r="W168" s="45"/>
      <c r="X168" s="45"/>
      <c r="Y168" s="66"/>
      <c r="Z168" s="46" t="s">
        <v>22</v>
      </c>
      <c r="AA168" s="45" t="s">
        <v>6</v>
      </c>
      <c r="AB168" s="45" t="s">
        <v>6</v>
      </c>
      <c r="AC168" s="47" t="s">
        <v>7</v>
      </c>
      <c r="AD168" s="46" t="s">
        <v>14</v>
      </c>
      <c r="AE168" s="22"/>
      <c r="AF168" s="22"/>
      <c r="AG168" s="23"/>
      <c r="AH168" s="67">
        <f>COUNTIF(C168:AG168,"Д")+COUNTIF(C168:AG168,"Н")+COUNTIF(C168:AG168,"ПД")+COUNTIF(C168:AG168,"ПН")+COUNTIF(C168:AG168,"Д/8")</f>
        <v>18</v>
      </c>
    </row>
    <row r="169" spans="1:34" ht="16.8" x14ac:dyDescent="0.3">
      <c r="A169" s="43"/>
      <c r="B169" s="26" t="e">
        <f>AVERAGE(C169:AG169)</f>
        <v>#DIV/0!</v>
      </c>
      <c r="C169" s="74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66"/>
      <c r="Z169" s="47"/>
      <c r="AA169" s="45"/>
      <c r="AB169" s="45"/>
      <c r="AC169" s="45"/>
      <c r="AD169" s="45"/>
      <c r="AE169" s="22"/>
      <c r="AF169" s="22"/>
      <c r="AG169" s="23"/>
      <c r="AH169" s="18"/>
    </row>
    <row r="170" spans="1:34" ht="17.399999999999999" x14ac:dyDescent="0.3">
      <c r="A170" s="48"/>
      <c r="B170" s="57"/>
      <c r="C170" s="100"/>
      <c r="D170" s="101"/>
      <c r="E170" s="101"/>
      <c r="F170" s="101"/>
      <c r="G170" s="101"/>
      <c r="H170" s="101"/>
      <c r="I170" s="101"/>
      <c r="J170" s="101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66"/>
      <c r="Z170" s="45"/>
      <c r="AA170" s="68"/>
      <c r="AB170" s="68"/>
      <c r="AC170" s="68"/>
      <c r="AD170" s="68"/>
      <c r="AE170" s="33"/>
      <c r="AF170" s="33"/>
      <c r="AG170" s="23"/>
      <c r="AH170" s="34"/>
    </row>
    <row r="171" spans="1:34" ht="50.4" x14ac:dyDescent="0.3">
      <c r="A171" s="54" t="s">
        <v>80</v>
      </c>
      <c r="B171" s="125"/>
      <c r="C171" s="74" t="s">
        <v>7</v>
      </c>
      <c r="D171" s="45" t="s">
        <v>7</v>
      </c>
      <c r="E171" s="45"/>
      <c r="F171" s="45"/>
      <c r="G171" s="45"/>
      <c r="H171" s="45" t="s">
        <v>6</v>
      </c>
      <c r="I171" s="45" t="s">
        <v>6</v>
      </c>
      <c r="J171" s="45" t="s">
        <v>6</v>
      </c>
      <c r="K171" s="45" t="s">
        <v>7</v>
      </c>
      <c r="L171" s="45" t="s">
        <v>7</v>
      </c>
      <c r="M171" s="45" t="s">
        <v>7</v>
      </c>
      <c r="N171" s="45"/>
      <c r="O171" s="45"/>
      <c r="P171" s="45"/>
      <c r="Q171" s="45" t="s">
        <v>6</v>
      </c>
      <c r="R171" s="45" t="s">
        <v>6</v>
      </c>
      <c r="S171" s="45"/>
      <c r="T171" s="77" t="s">
        <v>7</v>
      </c>
      <c r="U171" s="77" t="s">
        <v>7</v>
      </c>
      <c r="V171" s="77"/>
      <c r="W171" s="77"/>
      <c r="X171" s="77"/>
      <c r="Y171" s="66"/>
      <c r="Z171" s="77"/>
      <c r="AA171" s="77" t="s">
        <v>6</v>
      </c>
      <c r="AB171" s="77" t="s">
        <v>7</v>
      </c>
      <c r="AC171" s="77" t="s">
        <v>7</v>
      </c>
      <c r="AD171" s="77"/>
      <c r="AE171" s="22"/>
      <c r="AF171" s="22"/>
      <c r="AG171" s="23"/>
      <c r="AH171" s="39">
        <f>COUNTIF(C171:AG171,"Д")+COUNTIF(C171:AG171,"Н")+COUNTIF(C171:AG171,"ПД")+COUNTIF(C171:AG171,"ПН")+COUNTIF(C171:AG171,"Д/8")</f>
        <v>15</v>
      </c>
    </row>
    <row r="172" spans="1:34" ht="17.399999999999999" x14ac:dyDescent="0.3">
      <c r="A172" s="52"/>
      <c r="B172" s="26" t="e">
        <f>AVERAGE(C172:AG172)</f>
        <v>#DIV/0!</v>
      </c>
      <c r="C172" s="100"/>
      <c r="D172" s="101"/>
      <c r="E172" s="101"/>
      <c r="F172" s="101"/>
      <c r="G172" s="101"/>
      <c r="H172" s="101"/>
      <c r="I172" s="101"/>
      <c r="J172" s="101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66"/>
      <c r="Z172" s="45"/>
      <c r="AA172" s="47"/>
      <c r="AB172" s="47"/>
      <c r="AC172" s="47"/>
      <c r="AD172" s="47"/>
      <c r="AE172" s="22"/>
      <c r="AF172" s="22"/>
      <c r="AG172" s="23"/>
      <c r="AH172" s="64"/>
    </row>
    <row r="173" spans="1:34" ht="17.399999999999999" x14ac:dyDescent="0.3">
      <c r="A173" s="120"/>
      <c r="B173" s="57"/>
      <c r="C173" s="74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66"/>
      <c r="Z173" s="45"/>
      <c r="AA173" s="68"/>
      <c r="AB173" s="68"/>
      <c r="AC173" s="68"/>
      <c r="AD173" s="68"/>
      <c r="AE173" s="22"/>
      <c r="AF173" s="22"/>
      <c r="AG173" s="23"/>
      <c r="AH173" s="34"/>
    </row>
    <row r="174" spans="1:34" ht="50.4" x14ac:dyDescent="0.3">
      <c r="A174" s="54" t="s">
        <v>81</v>
      </c>
      <c r="B174" s="113"/>
      <c r="C174" s="74"/>
      <c r="D174" s="45"/>
      <c r="E174" s="45" t="s">
        <v>6</v>
      </c>
      <c r="F174" s="45" t="s">
        <v>6</v>
      </c>
      <c r="G174" s="46" t="s">
        <v>22</v>
      </c>
      <c r="H174" s="45" t="s">
        <v>7</v>
      </c>
      <c r="I174" s="45" t="s">
        <v>7</v>
      </c>
      <c r="J174" s="45" t="s">
        <v>7</v>
      </c>
      <c r="K174" s="45"/>
      <c r="L174" s="45"/>
      <c r="M174" s="45"/>
      <c r="N174" s="46" t="s">
        <v>22</v>
      </c>
      <c r="O174" s="45" t="s">
        <v>6</v>
      </c>
      <c r="P174" s="45" t="s">
        <v>6</v>
      </c>
      <c r="Q174" s="45" t="s">
        <v>7</v>
      </c>
      <c r="R174" s="46" t="s">
        <v>14</v>
      </c>
      <c r="S174" s="45" t="s">
        <v>7</v>
      </c>
      <c r="T174" s="45"/>
      <c r="U174" s="45"/>
      <c r="V174" s="45"/>
      <c r="W174" s="45" t="s">
        <v>6</v>
      </c>
      <c r="X174" s="46" t="s">
        <v>22</v>
      </c>
      <c r="Y174" s="66" t="s">
        <v>6</v>
      </c>
      <c r="Z174" s="47" t="s">
        <v>7</v>
      </c>
      <c r="AA174" s="47" t="s">
        <v>7</v>
      </c>
      <c r="AB174" s="46" t="s">
        <v>14</v>
      </c>
      <c r="AC174" s="45"/>
      <c r="AD174" s="45"/>
      <c r="AE174" s="33"/>
      <c r="AF174" s="33"/>
      <c r="AG174" s="23"/>
      <c r="AH174" s="51">
        <f>COUNTIF(C174:AG174,"Д")+COUNTIF(C174:AG174,"Н")+COUNTIF(C174:AG174,"ПД")+COUNTIF(C174:AG174,"ПН")+COUNTIF(C174:AG174,"Д/8")</f>
        <v>18</v>
      </c>
    </row>
    <row r="175" spans="1:34" ht="17.399999999999999" x14ac:dyDescent="0.3">
      <c r="A175" s="52"/>
      <c r="B175" s="26" t="e">
        <f>AVERAGE(C175:AG175)</f>
        <v>#DIV/0!</v>
      </c>
      <c r="C175" s="74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6"/>
      <c r="Z175" s="45"/>
      <c r="AA175" s="47"/>
      <c r="AB175" s="47"/>
      <c r="AC175" s="47"/>
      <c r="AD175" s="47"/>
      <c r="AE175" s="22"/>
      <c r="AF175" s="22"/>
      <c r="AG175" s="23"/>
      <c r="AH175" s="64"/>
    </row>
    <row r="176" spans="1:34" ht="17.399999999999999" x14ac:dyDescent="0.3">
      <c r="A176" s="120"/>
      <c r="B176" s="29"/>
      <c r="C176" s="74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7"/>
      <c r="Y176" s="66"/>
      <c r="Z176" s="47"/>
      <c r="AA176" s="68"/>
      <c r="AB176" s="68"/>
      <c r="AC176" s="68"/>
      <c r="AD176" s="68"/>
      <c r="AE176" s="22"/>
      <c r="AF176" s="22"/>
      <c r="AG176" s="23"/>
      <c r="AH176" s="34"/>
    </row>
    <row r="177" spans="1:34" ht="50.4" x14ac:dyDescent="0.3">
      <c r="A177" s="54" t="s">
        <v>82</v>
      </c>
      <c r="B177" s="76"/>
      <c r="C177" s="74"/>
      <c r="D177" s="66" t="s">
        <v>15</v>
      </c>
      <c r="E177" s="66" t="s">
        <v>15</v>
      </c>
      <c r="F177" s="66" t="s">
        <v>15</v>
      </c>
      <c r="G177" s="66" t="s">
        <v>15</v>
      </c>
      <c r="H177" s="66" t="s">
        <v>15</v>
      </c>
      <c r="I177" s="66" t="s">
        <v>15</v>
      </c>
      <c r="J177" s="66" t="s">
        <v>15</v>
      </c>
      <c r="K177" s="66" t="s">
        <v>15</v>
      </c>
      <c r="L177" s="66" t="s">
        <v>15</v>
      </c>
      <c r="M177" s="66" t="s">
        <v>15</v>
      </c>
      <c r="N177" s="66" t="s">
        <v>15</v>
      </c>
      <c r="O177" s="66" t="s">
        <v>15</v>
      </c>
      <c r="P177" s="66" t="s">
        <v>15</v>
      </c>
      <c r="Q177" s="66" t="s">
        <v>15</v>
      </c>
      <c r="R177" s="45"/>
      <c r="S177" s="45"/>
      <c r="T177" s="45" t="s">
        <v>6</v>
      </c>
      <c r="U177" s="45" t="s">
        <v>6</v>
      </c>
      <c r="V177" s="45" t="s">
        <v>6</v>
      </c>
      <c r="W177" s="45" t="s">
        <v>7</v>
      </c>
      <c r="X177" s="47" t="s">
        <v>7</v>
      </c>
      <c r="Y177" s="66" t="s">
        <v>7</v>
      </c>
      <c r="Z177" s="45"/>
      <c r="AA177" s="47"/>
      <c r="AB177" s="47"/>
      <c r="AC177" s="47" t="s">
        <v>6</v>
      </c>
      <c r="AD177" s="46" t="s">
        <v>22</v>
      </c>
      <c r="AE177" s="22"/>
      <c r="AF177" s="22"/>
      <c r="AG177" s="22"/>
      <c r="AH177" s="67">
        <f>COUNTIF(C177:AG177,"Д")+COUNTIF(C177:AG177,"Н")+COUNTIF(C177:AG177,"ПД")+COUNTIF(C177:AG177,"ПН")+COUNTIF(C177:AG177,"Д/8")</f>
        <v>8</v>
      </c>
    </row>
    <row r="178" spans="1:34" ht="17.399999999999999" x14ac:dyDescent="0.3">
      <c r="A178" s="110"/>
      <c r="B178" s="26" t="e">
        <f>AVERAGE(C178:AG178)</f>
        <v>#DIV/0!</v>
      </c>
      <c r="C178" s="74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6"/>
      <c r="Z178" s="45"/>
      <c r="AA178" s="47"/>
      <c r="AB178" s="47"/>
      <c r="AC178" s="47"/>
      <c r="AD178" s="47"/>
      <c r="AE178" s="22"/>
      <c r="AF178" s="22"/>
      <c r="AG178" s="22"/>
      <c r="AH178" s="64"/>
    </row>
    <row r="179" spans="1:34" ht="17.399999999999999" x14ac:dyDescent="0.3">
      <c r="A179" s="120"/>
      <c r="B179" s="29"/>
      <c r="C179" s="100"/>
      <c r="D179" s="101"/>
      <c r="E179" s="101"/>
      <c r="F179" s="101"/>
      <c r="G179" s="101"/>
      <c r="H179" s="101"/>
      <c r="I179" s="101"/>
      <c r="J179" s="101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6"/>
      <c r="Z179" s="45"/>
      <c r="AA179" s="68"/>
      <c r="AB179" s="68"/>
      <c r="AC179" s="68"/>
      <c r="AD179" s="68"/>
      <c r="AE179" s="22"/>
      <c r="AF179" s="22"/>
      <c r="AG179" s="22"/>
      <c r="AH179" s="34"/>
    </row>
    <row r="180" spans="1:34" ht="50.4" x14ac:dyDescent="0.3">
      <c r="A180" s="69" t="s">
        <v>83</v>
      </c>
      <c r="B180" s="76"/>
      <c r="C180" s="134"/>
      <c r="D180" s="134"/>
      <c r="E180" s="134"/>
      <c r="F180" s="134" t="s">
        <v>7</v>
      </c>
      <c r="G180" s="134" t="s">
        <v>7</v>
      </c>
      <c r="H180" s="134"/>
      <c r="I180" s="134"/>
      <c r="J180" s="134"/>
      <c r="K180" s="134"/>
      <c r="L180" s="134" t="s">
        <v>6</v>
      </c>
      <c r="M180" s="134" t="s">
        <v>6</v>
      </c>
      <c r="N180" s="134" t="s">
        <v>7</v>
      </c>
      <c r="O180" s="134" t="s">
        <v>7</v>
      </c>
      <c r="P180" s="134"/>
      <c r="Q180" s="134"/>
      <c r="R180" s="134"/>
      <c r="S180" s="134"/>
      <c r="T180" s="134" t="s">
        <v>6</v>
      </c>
      <c r="U180" s="134" t="s">
        <v>6</v>
      </c>
      <c r="V180" s="134" t="s">
        <v>6</v>
      </c>
      <c r="W180" s="134" t="s">
        <v>7</v>
      </c>
      <c r="X180" s="134" t="s">
        <v>7</v>
      </c>
      <c r="Y180" s="46"/>
      <c r="Z180" s="134"/>
      <c r="AA180" s="134"/>
      <c r="AB180" s="134"/>
      <c r="AC180" s="134" t="s">
        <v>6</v>
      </c>
      <c r="AD180" s="134" t="s">
        <v>6</v>
      </c>
      <c r="AE180" s="33"/>
      <c r="AF180" s="33"/>
      <c r="AG180" s="22"/>
      <c r="AH180" s="67">
        <f>COUNTIF(C180:AG180,"Д")+COUNTIF(C180:AG180,"Н")+COUNTIF(C180:AG180,"ПД")+COUNTIF(C180:AG180,"ПН")+COUNTIF(C180:AG180,"Д/8")</f>
        <v>13</v>
      </c>
    </row>
    <row r="181" spans="1:34" ht="50.4" x14ac:dyDescent="0.3">
      <c r="A181" s="149" t="s">
        <v>84</v>
      </c>
      <c r="B181" s="26" t="e">
        <f>AVERAGE(C181:AG181)</f>
        <v>#DIV/0!</v>
      </c>
      <c r="C181" s="74"/>
      <c r="D181" s="45"/>
      <c r="E181" s="101"/>
      <c r="F181" s="101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6"/>
      <c r="Z181" s="45"/>
      <c r="AA181" s="47"/>
      <c r="AB181" s="47"/>
      <c r="AC181" s="47"/>
      <c r="AD181" s="47"/>
      <c r="AE181" s="22"/>
      <c r="AF181" s="22"/>
      <c r="AG181" s="22"/>
      <c r="AH181" s="64"/>
    </row>
    <row r="182" spans="1:34" ht="17.399999999999999" x14ac:dyDescent="0.3">
      <c r="A182" s="120"/>
      <c r="B182" s="191"/>
      <c r="C182" s="74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6"/>
      <c r="Z182" s="45"/>
      <c r="AA182" s="68"/>
      <c r="AB182" s="68"/>
      <c r="AC182" s="68"/>
      <c r="AD182" s="68"/>
      <c r="AE182" s="22"/>
      <c r="AF182" s="22"/>
      <c r="AG182" s="22"/>
      <c r="AH182" s="34"/>
    </row>
    <row r="183" spans="1:34" ht="34.200000000000003" thickBot="1" x14ac:dyDescent="0.35">
      <c r="A183" s="192" t="s">
        <v>61</v>
      </c>
      <c r="B183" s="193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2"/>
      <c r="Q183" s="62"/>
      <c r="R183" s="62"/>
      <c r="S183" s="93" t="s">
        <v>24</v>
      </c>
      <c r="T183" s="93" t="s">
        <v>27</v>
      </c>
      <c r="U183" s="62"/>
      <c r="V183" s="62"/>
      <c r="W183" s="62"/>
      <c r="X183" s="62"/>
      <c r="Y183" s="62"/>
      <c r="Z183" s="62"/>
      <c r="AA183" s="62"/>
      <c r="AB183" s="93" t="s">
        <v>27</v>
      </c>
      <c r="AC183" s="62"/>
      <c r="AD183" s="62"/>
      <c r="AE183" s="62"/>
      <c r="AF183" s="62"/>
      <c r="AG183" s="62"/>
      <c r="AH183" s="62"/>
    </row>
    <row r="184" spans="1:34" ht="67.8" thickBot="1" x14ac:dyDescent="0.35">
      <c r="A184" s="194" t="s">
        <v>29</v>
      </c>
      <c r="B184" s="193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</row>
    <row r="185" spans="1:34" ht="18" thickBot="1" x14ac:dyDescent="0.35">
      <c r="A185" s="96"/>
      <c r="B185" s="195"/>
      <c r="C185" s="14"/>
      <c r="D185" s="14"/>
      <c r="E185" s="14"/>
      <c r="F185" s="14"/>
      <c r="G185" s="14"/>
      <c r="H185" s="14"/>
      <c r="I185" s="14"/>
      <c r="J185" s="196"/>
      <c r="K185" s="14"/>
      <c r="L185" s="14"/>
      <c r="M185" s="14"/>
      <c r="N185" s="14"/>
      <c r="O185" s="14"/>
      <c r="P185" s="14"/>
      <c r="Q185" s="14" t="s">
        <v>85</v>
      </c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7"/>
      <c r="AH185" s="64"/>
    </row>
    <row r="186" spans="1:34" ht="50.4" x14ac:dyDescent="0.3">
      <c r="A186" s="197" t="s">
        <v>18</v>
      </c>
      <c r="B186" s="76" t="s">
        <v>2</v>
      </c>
      <c r="C186" s="111"/>
      <c r="D186" s="21"/>
      <c r="E186" s="21"/>
      <c r="F186" s="198" t="s">
        <v>86</v>
      </c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33"/>
      <c r="AF186" s="33"/>
      <c r="AG186" s="22"/>
      <c r="AH186" s="78">
        <f>COUNTIF(C186:AG186,"Д")+COUNTIF(C186:AG186,"Н")+COUNTIF(C186:AG186,"ПД")+COUNTIF(C186:AG186,"ПН")+COUNTIF(C186:AG186,"Д/8")</f>
        <v>0</v>
      </c>
    </row>
    <row r="187" spans="1:34" ht="17.399999999999999" x14ac:dyDescent="0.3">
      <c r="A187" s="199"/>
      <c r="B187" s="26" t="e">
        <f>AVERAGE(C187:AG187)</f>
        <v>#DIV/0!</v>
      </c>
      <c r="C187" s="11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00"/>
      <c r="Y187" s="200"/>
      <c r="Z187" s="200"/>
      <c r="AA187" s="200"/>
      <c r="AB187" s="200"/>
      <c r="AC187" s="200"/>
      <c r="AD187" s="200"/>
      <c r="AE187" s="33"/>
      <c r="AF187" s="33"/>
      <c r="AG187" s="22"/>
      <c r="AH187" s="80"/>
    </row>
    <row r="188" spans="1:34" ht="17.399999999999999" x14ac:dyDescent="0.3">
      <c r="A188" s="81"/>
      <c r="B188" s="29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31"/>
      <c r="Z188" s="138"/>
      <c r="AA188" s="32"/>
      <c r="AB188" s="32"/>
      <c r="AC188" s="32"/>
      <c r="AD188" s="32"/>
      <c r="AE188" s="33"/>
      <c r="AF188" s="33"/>
      <c r="AG188" s="22"/>
      <c r="AH188" s="82"/>
    </row>
    <row r="189" spans="1:34" ht="50.4" x14ac:dyDescent="0.3">
      <c r="A189" s="54" t="s">
        <v>26</v>
      </c>
      <c r="B189" s="20"/>
      <c r="C189" s="138"/>
      <c r="D189" s="37" t="s">
        <v>6</v>
      </c>
      <c r="E189" s="37" t="s">
        <v>6</v>
      </c>
      <c r="F189" s="30" t="s">
        <v>7</v>
      </c>
      <c r="G189" s="30" t="s">
        <v>7</v>
      </c>
      <c r="H189" s="30"/>
      <c r="I189" s="30"/>
      <c r="J189" s="30"/>
      <c r="K189" s="30"/>
      <c r="L189" s="30" t="s">
        <v>6</v>
      </c>
      <c r="M189" s="30" t="s">
        <v>6</v>
      </c>
      <c r="N189" s="30" t="s">
        <v>7</v>
      </c>
      <c r="O189" s="30" t="s">
        <v>7</v>
      </c>
      <c r="P189" s="30"/>
      <c r="Q189" s="30"/>
      <c r="R189" s="30"/>
      <c r="S189" s="30"/>
      <c r="T189" s="30" t="s">
        <v>6</v>
      </c>
      <c r="U189" s="30" t="s">
        <v>6</v>
      </c>
      <c r="V189" s="144" t="s">
        <v>7</v>
      </c>
      <c r="W189" s="30" t="s">
        <v>7</v>
      </c>
      <c r="X189" s="30"/>
      <c r="Y189" s="31"/>
      <c r="Z189" s="30"/>
      <c r="AA189" s="144" t="s">
        <v>6</v>
      </c>
      <c r="AB189" s="144" t="s">
        <v>6</v>
      </c>
      <c r="AC189" s="38"/>
      <c r="AD189" s="144" t="s">
        <v>7</v>
      </c>
      <c r="AE189" s="22"/>
      <c r="AF189" s="22"/>
      <c r="AG189" s="23"/>
      <c r="AH189" s="24">
        <f>COUNTIF(C189:AG189,"Д")+COUNTIF(C189:AG189,"Н")+COUNTIF(C189:AG189,"ПД")+COUNTIF(C189:AG189,"ПН")+COUNTIF(C189:AG189,"Д/8")</f>
        <v>15</v>
      </c>
    </row>
    <row r="190" spans="1:34" ht="17.399999999999999" x14ac:dyDescent="0.3">
      <c r="A190" s="43"/>
      <c r="B190" s="26" t="e">
        <f>AVERAGE(C190:AG190)</f>
        <v>#DIV/0!</v>
      </c>
      <c r="C190" s="141"/>
      <c r="D190" s="141"/>
      <c r="E190" s="141"/>
      <c r="F190" s="141"/>
      <c r="G190" s="139"/>
      <c r="H190" s="139"/>
      <c r="I190" s="139"/>
      <c r="J190" s="139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1"/>
      <c r="Z190" s="30"/>
      <c r="AA190" s="38"/>
      <c r="AB190" s="38"/>
      <c r="AC190" s="38"/>
      <c r="AD190" s="38"/>
      <c r="AE190" s="22"/>
      <c r="AF190" s="22"/>
      <c r="AG190" s="23"/>
      <c r="AH190" s="64"/>
    </row>
    <row r="191" spans="1:34" ht="17.399999999999999" x14ac:dyDescent="0.3">
      <c r="A191" s="120"/>
      <c r="B191" s="57"/>
      <c r="C191" s="138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1"/>
      <c r="Z191" s="30"/>
      <c r="AA191" s="32"/>
      <c r="AB191" s="32"/>
      <c r="AC191" s="32"/>
      <c r="AD191" s="32"/>
      <c r="AE191" s="22"/>
      <c r="AF191" s="22"/>
      <c r="AG191" s="23"/>
      <c r="AH191" s="34"/>
    </row>
    <row r="192" spans="1:34" ht="33.6" x14ac:dyDescent="0.3">
      <c r="A192" s="43" t="s">
        <v>87</v>
      </c>
      <c r="B192" s="113"/>
      <c r="C192" s="138"/>
      <c r="D192" s="30"/>
      <c r="E192" s="30"/>
      <c r="F192" s="30" t="s">
        <v>6</v>
      </c>
      <c r="G192" s="30" t="s">
        <v>6</v>
      </c>
      <c r="H192" s="30" t="s">
        <v>7</v>
      </c>
      <c r="I192" s="30" t="s">
        <v>7</v>
      </c>
      <c r="J192" s="30"/>
      <c r="K192" s="30"/>
      <c r="L192" s="30"/>
      <c r="M192" s="30"/>
      <c r="N192" s="30" t="s">
        <v>6</v>
      </c>
      <c r="O192" s="30" t="s">
        <v>6</v>
      </c>
      <c r="P192" s="30" t="s">
        <v>7</v>
      </c>
      <c r="Q192" s="30" t="s">
        <v>7</v>
      </c>
      <c r="R192" s="30"/>
      <c r="S192" s="30"/>
      <c r="T192" s="30"/>
      <c r="U192" s="30"/>
      <c r="V192" s="30" t="s">
        <v>6</v>
      </c>
      <c r="W192" s="30" t="s">
        <v>6</v>
      </c>
      <c r="X192" s="38" t="s">
        <v>7</v>
      </c>
      <c r="Y192" s="140" t="s">
        <v>7</v>
      </c>
      <c r="Z192" s="38"/>
      <c r="AA192" s="38"/>
      <c r="AB192" s="38"/>
      <c r="AC192" s="30"/>
      <c r="AD192" s="30" t="s">
        <v>6</v>
      </c>
      <c r="AE192" s="201"/>
      <c r="AF192" s="201"/>
      <c r="AG192" s="23"/>
      <c r="AH192" s="51">
        <f>COUNTIF(C192:AG192,"Д")+COUNTIF(C192:AG192,"Н")+COUNTIF(C192:AG192,"ПД")+COUNTIF(C192:AG192,"ПН")+COUNTIF(C192:AG192,"Д/8")</f>
        <v>13</v>
      </c>
    </row>
    <row r="193" spans="1:34" ht="17.399999999999999" x14ac:dyDescent="0.3">
      <c r="A193" s="202"/>
      <c r="B193" s="26" t="e">
        <f>AVERAGE(C193:AG193)</f>
        <v>#DIV/0!</v>
      </c>
      <c r="C193" s="138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1"/>
      <c r="Z193" s="30"/>
      <c r="AA193" s="38"/>
      <c r="AB193" s="38"/>
      <c r="AC193" s="30"/>
      <c r="AD193" s="30"/>
      <c r="AE193" s="22"/>
      <c r="AF193" s="22"/>
      <c r="AG193" s="23"/>
      <c r="AH193" s="64"/>
    </row>
    <row r="194" spans="1:34" ht="17.399999999999999" x14ac:dyDescent="0.3">
      <c r="A194" s="120"/>
      <c r="B194" s="57"/>
      <c r="C194" s="138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8"/>
      <c r="Y194" s="140"/>
      <c r="Z194" s="38"/>
      <c r="AA194" s="32"/>
      <c r="AB194" s="32"/>
      <c r="AC194" s="32"/>
      <c r="AD194" s="32"/>
      <c r="AE194" s="33"/>
      <c r="AF194" s="33"/>
      <c r="AG194" s="23"/>
      <c r="AH194" s="34"/>
    </row>
    <row r="195" spans="1:34" ht="50.4" x14ac:dyDescent="0.3">
      <c r="A195" s="54" t="s">
        <v>28</v>
      </c>
      <c r="B195" s="133"/>
      <c r="C195" s="141" t="s">
        <v>6</v>
      </c>
      <c r="D195" s="139" t="s">
        <v>7</v>
      </c>
      <c r="E195" s="139" t="s">
        <v>7</v>
      </c>
      <c r="F195" s="139"/>
      <c r="G195" s="139"/>
      <c r="H195" s="139"/>
      <c r="I195" s="139"/>
      <c r="J195" s="30" t="s">
        <v>6</v>
      </c>
      <c r="K195" s="30" t="s">
        <v>6</v>
      </c>
      <c r="L195" s="30" t="s">
        <v>7</v>
      </c>
      <c r="M195" s="30" t="s">
        <v>7</v>
      </c>
      <c r="N195" s="30"/>
      <c r="O195" s="30"/>
      <c r="P195" s="30"/>
      <c r="Q195" s="30"/>
      <c r="R195" s="203" t="s">
        <v>6</v>
      </c>
      <c r="S195" s="30" t="s">
        <v>6</v>
      </c>
      <c r="T195" s="203" t="s">
        <v>7</v>
      </c>
      <c r="U195" s="203" t="s">
        <v>7</v>
      </c>
      <c r="V195" s="30"/>
      <c r="W195" s="30"/>
      <c r="X195" s="30"/>
      <c r="Y195" s="31"/>
      <c r="Z195" s="30"/>
      <c r="AA195" s="30"/>
      <c r="AB195" s="30" t="s">
        <v>7</v>
      </c>
      <c r="AC195" s="203" t="s">
        <v>7</v>
      </c>
      <c r="AD195" s="38"/>
      <c r="AE195" s="22"/>
      <c r="AF195" s="22"/>
      <c r="AG195" s="204"/>
      <c r="AH195" s="113">
        <f>COUNTIF(C195:AG195,"Д")+COUNTIF(C195:AG195,"Н")+COUNTIF(C195:AG195,"ПД")+COUNTIF(C195:AG195,"ПН")+COUNTIF(C195:AG195,"Д/8")</f>
        <v>13</v>
      </c>
    </row>
    <row r="196" spans="1:34" ht="17.399999999999999" x14ac:dyDescent="0.3">
      <c r="A196" s="43"/>
      <c r="B196" s="26" t="e">
        <f>AVERAGE(C196:AG196)</f>
        <v>#DIV/0!</v>
      </c>
      <c r="C196" s="138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1"/>
      <c r="Z196" s="30"/>
      <c r="AA196" s="38"/>
      <c r="AB196" s="38"/>
      <c r="AC196" s="38"/>
      <c r="AD196" s="38"/>
      <c r="AE196" s="22"/>
      <c r="AF196" s="22"/>
      <c r="AG196" s="23"/>
      <c r="AH196" s="27"/>
    </row>
    <row r="197" spans="1:34" ht="17.399999999999999" x14ac:dyDescent="0.3">
      <c r="A197" s="120"/>
      <c r="B197" s="57"/>
      <c r="C197" s="141"/>
      <c r="D197" s="139"/>
      <c r="E197" s="139"/>
      <c r="F197" s="139"/>
      <c r="G197" s="139"/>
      <c r="H197" s="139"/>
      <c r="I197" s="139"/>
      <c r="J197" s="139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1"/>
      <c r="Z197" s="30"/>
      <c r="AA197" s="32"/>
      <c r="AB197" s="32"/>
      <c r="AC197" s="32"/>
      <c r="AD197" s="32"/>
      <c r="AE197" s="33"/>
      <c r="AF197" s="33"/>
      <c r="AG197" s="23"/>
      <c r="AH197" s="142"/>
    </row>
    <row r="198" spans="1:34" ht="33.6" x14ac:dyDescent="0.3">
      <c r="A198" s="54" t="s">
        <v>25</v>
      </c>
      <c r="B198" s="65"/>
      <c r="C198" s="138" t="s">
        <v>7</v>
      </c>
      <c r="D198" s="30"/>
      <c r="E198" s="30"/>
      <c r="F198" s="30"/>
      <c r="G198" s="30"/>
      <c r="H198" s="30" t="s">
        <v>6</v>
      </c>
      <c r="I198" s="30" t="s">
        <v>6</v>
      </c>
      <c r="J198" s="30" t="s">
        <v>7</v>
      </c>
      <c r="K198" s="30" t="s">
        <v>7</v>
      </c>
      <c r="L198" s="30"/>
      <c r="M198" s="30"/>
      <c r="N198" s="30"/>
      <c r="O198" s="30"/>
      <c r="P198" s="30" t="s">
        <v>6</v>
      </c>
      <c r="Q198" s="205" t="s">
        <v>6</v>
      </c>
      <c r="R198" s="30" t="s">
        <v>7</v>
      </c>
      <c r="S198" s="30" t="s">
        <v>7</v>
      </c>
      <c r="T198" s="30"/>
      <c r="U198" s="30"/>
      <c r="V198" s="30"/>
      <c r="W198" s="30"/>
      <c r="X198" s="30" t="s">
        <v>6</v>
      </c>
      <c r="Y198" s="31" t="s">
        <v>6</v>
      </c>
      <c r="Z198" s="205" t="s">
        <v>6</v>
      </c>
      <c r="AA198" s="38" t="s">
        <v>7</v>
      </c>
      <c r="AB198" s="38"/>
      <c r="AC198" s="38"/>
      <c r="AD198" s="38"/>
      <c r="AE198" s="22"/>
      <c r="AF198" s="22"/>
      <c r="AG198" s="23"/>
      <c r="AH198" s="67">
        <f>COUNTIF(C198:AG198,"Д")+COUNTIF(C198:AG198,"Н")+COUNTIF(C198:AG198,"ПД")+COUNTIF(C198:AG198,"ПН")+COUNTIF(C198:AG198,"Д/8")</f>
        <v>13</v>
      </c>
    </row>
    <row r="199" spans="1:34" ht="17.399999999999999" x14ac:dyDescent="0.3">
      <c r="A199" s="206"/>
      <c r="B199" s="40" t="e">
        <f>AVERAGE(C199:AG199)</f>
        <v>#DIV/0!</v>
      </c>
      <c r="C199" s="138"/>
      <c r="D199" s="30"/>
      <c r="E199" s="139"/>
      <c r="F199" s="139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1"/>
      <c r="Z199" s="38"/>
      <c r="AA199" s="38"/>
      <c r="AB199" s="38"/>
      <c r="AC199" s="38"/>
      <c r="AD199" s="38"/>
      <c r="AE199" s="22"/>
      <c r="AF199" s="22"/>
      <c r="AG199" s="23"/>
      <c r="AH199" s="64"/>
    </row>
    <row r="200" spans="1:34" ht="18" thickBot="1" x14ac:dyDescent="0.35">
      <c r="A200" s="207"/>
      <c r="B200" s="193"/>
      <c r="C200" s="138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1"/>
      <c r="Z200" s="30"/>
      <c r="AA200" s="32"/>
      <c r="AB200" s="32"/>
      <c r="AC200" s="32"/>
      <c r="AD200" s="32"/>
      <c r="AE200" s="22"/>
      <c r="AF200" s="22"/>
      <c r="AG200" s="208"/>
      <c r="AH200" s="82"/>
    </row>
    <row r="201" spans="1:34" ht="18" thickBot="1" x14ac:dyDescent="0.35">
      <c r="A201" s="209" t="s">
        <v>11</v>
      </c>
      <c r="B201" s="193"/>
      <c r="C201" s="61"/>
      <c r="D201" s="210" t="s">
        <v>24</v>
      </c>
      <c r="E201" s="210" t="s">
        <v>24</v>
      </c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211"/>
      <c r="Q201" s="210" t="s">
        <v>24</v>
      </c>
      <c r="R201" s="210" t="s">
        <v>24</v>
      </c>
      <c r="S201" s="211"/>
      <c r="T201" s="210" t="s">
        <v>27</v>
      </c>
      <c r="U201" s="210" t="s">
        <v>27</v>
      </c>
      <c r="V201" s="210" t="s">
        <v>27</v>
      </c>
      <c r="W201" s="211"/>
      <c r="X201" s="211"/>
      <c r="Y201" s="211"/>
      <c r="Z201" s="210" t="s">
        <v>88</v>
      </c>
      <c r="AA201" s="210" t="s">
        <v>24</v>
      </c>
      <c r="AB201" s="210" t="s">
        <v>24</v>
      </c>
      <c r="AC201" s="210" t="s">
        <v>88</v>
      </c>
      <c r="AD201" s="210" t="s">
        <v>27</v>
      </c>
      <c r="AE201" s="62"/>
      <c r="AF201" s="62"/>
      <c r="AG201" s="62"/>
      <c r="AH201" s="155"/>
    </row>
    <row r="202" spans="1:34" ht="17.399999999999999" x14ac:dyDescent="0.3">
      <c r="A202" s="212" t="s">
        <v>89</v>
      </c>
      <c r="B202" s="213" t="s">
        <v>90</v>
      </c>
      <c r="C202" s="214">
        <f t="shared" ref="C202:AG202" si="0">COUNTIF(C3:C199,"Д")+COUNTIF(C3:C199,"Н")+COUNTIF(C3:C199,"ПД")+COUNTIF(C3:C199,"ПН")+COUNTIF(C3:C199,"Д/8")</f>
        <v>25</v>
      </c>
      <c r="D202" s="214">
        <f t="shared" si="0"/>
        <v>25</v>
      </c>
      <c r="E202" s="214">
        <f t="shared" si="0"/>
        <v>27</v>
      </c>
      <c r="F202" s="214">
        <f t="shared" si="0"/>
        <v>28</v>
      </c>
      <c r="G202" s="214">
        <f t="shared" si="0"/>
        <v>29</v>
      </c>
      <c r="H202" s="214">
        <f t="shared" si="0"/>
        <v>25</v>
      </c>
      <c r="I202" s="214">
        <f t="shared" si="0"/>
        <v>25</v>
      </c>
      <c r="J202" s="214">
        <f t="shared" si="0"/>
        <v>26</v>
      </c>
      <c r="K202" s="214">
        <f t="shared" si="0"/>
        <v>26</v>
      </c>
      <c r="L202" s="214">
        <f t="shared" si="0"/>
        <v>29</v>
      </c>
      <c r="M202" s="214">
        <f t="shared" si="0"/>
        <v>29</v>
      </c>
      <c r="N202" s="214">
        <f t="shared" si="0"/>
        <v>28</v>
      </c>
      <c r="O202" s="214">
        <f t="shared" si="0"/>
        <v>28</v>
      </c>
      <c r="P202" s="214">
        <f t="shared" si="0"/>
        <v>27</v>
      </c>
      <c r="Q202" s="214">
        <f t="shared" si="0"/>
        <v>24</v>
      </c>
      <c r="R202" s="214">
        <f t="shared" si="0"/>
        <v>24</v>
      </c>
      <c r="S202" s="214">
        <f t="shared" si="0"/>
        <v>24</v>
      </c>
      <c r="T202" s="214">
        <f t="shared" si="0"/>
        <v>26</v>
      </c>
      <c r="U202" s="214">
        <f t="shared" si="0"/>
        <v>28</v>
      </c>
      <c r="V202" s="214">
        <f t="shared" si="0"/>
        <v>27</v>
      </c>
      <c r="W202" s="214">
        <f t="shared" si="0"/>
        <v>30</v>
      </c>
      <c r="X202" s="214">
        <f t="shared" si="0"/>
        <v>29</v>
      </c>
      <c r="Y202" s="214">
        <f t="shared" si="0"/>
        <v>26</v>
      </c>
      <c r="Z202" s="214">
        <f t="shared" si="0"/>
        <v>25</v>
      </c>
      <c r="AA202" s="214">
        <f t="shared" si="0"/>
        <v>25</v>
      </c>
      <c r="AB202" s="214">
        <f t="shared" si="0"/>
        <v>26</v>
      </c>
      <c r="AC202" s="214">
        <f t="shared" si="0"/>
        <v>24</v>
      </c>
      <c r="AD202" s="214">
        <f t="shared" si="0"/>
        <v>27</v>
      </c>
      <c r="AE202" s="214">
        <f t="shared" si="0"/>
        <v>0</v>
      </c>
      <c r="AF202" s="214">
        <f t="shared" si="0"/>
        <v>0</v>
      </c>
      <c r="AG202" s="215">
        <f t="shared" si="0"/>
        <v>0</v>
      </c>
      <c r="AH202" s="64"/>
    </row>
    <row r="203" spans="1:34" ht="18" thickBot="1" x14ac:dyDescent="0.35">
      <c r="A203" s="212" t="s">
        <v>89</v>
      </c>
      <c r="B203" s="216" t="s">
        <v>15</v>
      </c>
      <c r="C203" s="217">
        <f t="shared" ref="C203:AG203" si="1">COUNTIF(C3:C199,"от")</f>
        <v>1</v>
      </c>
      <c r="D203" s="217">
        <f t="shared" si="1"/>
        <v>3</v>
      </c>
      <c r="E203" s="217">
        <f t="shared" si="1"/>
        <v>3</v>
      </c>
      <c r="F203" s="217">
        <f t="shared" si="1"/>
        <v>3</v>
      </c>
      <c r="G203" s="217">
        <f t="shared" si="1"/>
        <v>3</v>
      </c>
      <c r="H203" s="217">
        <f t="shared" si="1"/>
        <v>3</v>
      </c>
      <c r="I203" s="217">
        <f t="shared" si="1"/>
        <v>3</v>
      </c>
      <c r="J203" s="217">
        <f t="shared" si="1"/>
        <v>3</v>
      </c>
      <c r="K203" s="217">
        <f t="shared" si="1"/>
        <v>3</v>
      </c>
      <c r="L203" s="217">
        <f t="shared" si="1"/>
        <v>3</v>
      </c>
      <c r="M203" s="217">
        <f t="shared" si="1"/>
        <v>3</v>
      </c>
      <c r="N203" s="217">
        <f t="shared" si="1"/>
        <v>3</v>
      </c>
      <c r="O203" s="217">
        <f t="shared" si="1"/>
        <v>3</v>
      </c>
      <c r="P203" s="217">
        <f t="shared" si="1"/>
        <v>7</v>
      </c>
      <c r="Q203" s="217">
        <f t="shared" si="1"/>
        <v>6</v>
      </c>
      <c r="R203" s="217">
        <f t="shared" si="1"/>
        <v>4</v>
      </c>
      <c r="S203" s="217">
        <f t="shared" si="1"/>
        <v>4</v>
      </c>
      <c r="T203" s="217">
        <f t="shared" si="1"/>
        <v>4</v>
      </c>
      <c r="U203" s="217">
        <f t="shared" si="1"/>
        <v>4</v>
      </c>
      <c r="V203" s="217">
        <f t="shared" si="1"/>
        <v>4</v>
      </c>
      <c r="W203" s="217">
        <f t="shared" si="1"/>
        <v>4</v>
      </c>
      <c r="X203" s="217">
        <f t="shared" si="1"/>
        <v>4</v>
      </c>
      <c r="Y203" s="217">
        <f t="shared" si="1"/>
        <v>0</v>
      </c>
      <c r="Z203" s="217">
        <f t="shared" si="1"/>
        <v>4</v>
      </c>
      <c r="AA203" s="217">
        <f t="shared" si="1"/>
        <v>4</v>
      </c>
      <c r="AB203" s="217">
        <f t="shared" si="1"/>
        <v>4</v>
      </c>
      <c r="AC203" s="217">
        <f t="shared" si="1"/>
        <v>4</v>
      </c>
      <c r="AD203" s="217">
        <f t="shared" si="1"/>
        <v>4</v>
      </c>
      <c r="AE203" s="217">
        <f t="shared" si="1"/>
        <v>0</v>
      </c>
      <c r="AF203" s="217">
        <f t="shared" si="1"/>
        <v>0</v>
      </c>
      <c r="AG203" s="218">
        <f t="shared" si="1"/>
        <v>0</v>
      </c>
      <c r="AH203" s="64"/>
    </row>
    <row r="204" spans="1:34" ht="18" thickBot="1" x14ac:dyDescent="0.35">
      <c r="A204" s="219"/>
      <c r="B204" s="220"/>
      <c r="C204" s="221"/>
      <c r="D204" s="221"/>
      <c r="E204" s="221"/>
      <c r="F204" s="221"/>
      <c r="G204" s="221"/>
      <c r="H204" s="221"/>
      <c r="I204" s="221"/>
      <c r="J204" s="221"/>
      <c r="K204" s="221"/>
      <c r="L204" s="221"/>
      <c r="M204" s="221"/>
      <c r="N204" s="221"/>
      <c r="O204" s="221"/>
      <c r="P204" s="221"/>
      <c r="Q204" s="221" t="s">
        <v>91</v>
      </c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  <c r="AB204" s="221"/>
      <c r="AC204" s="221"/>
      <c r="AD204" s="221"/>
      <c r="AE204" s="221"/>
      <c r="AF204" s="221"/>
      <c r="AG204" s="222"/>
      <c r="AH204" s="97"/>
    </row>
    <row r="205" spans="1:34" ht="50.4" x14ac:dyDescent="0.3">
      <c r="A205" s="54" t="s">
        <v>92</v>
      </c>
      <c r="B205" s="125"/>
      <c r="C205" s="138" t="s">
        <v>6</v>
      </c>
      <c r="D205" s="30" t="s">
        <v>7</v>
      </c>
      <c r="E205" s="30" t="s">
        <v>7</v>
      </c>
      <c r="F205" s="30"/>
      <c r="G205" s="30"/>
      <c r="H205" s="30"/>
      <c r="I205" s="30"/>
      <c r="J205" s="30" t="s">
        <v>6</v>
      </c>
      <c r="K205" s="30" t="s">
        <v>6</v>
      </c>
      <c r="L205" s="30" t="s">
        <v>7</v>
      </c>
      <c r="M205" s="30" t="s">
        <v>7</v>
      </c>
      <c r="N205" s="30"/>
      <c r="O205" s="30"/>
      <c r="P205" s="30"/>
      <c r="Q205" s="30"/>
      <c r="R205" s="30" t="s">
        <v>6</v>
      </c>
      <c r="S205" s="30" t="s">
        <v>6</v>
      </c>
      <c r="T205" s="30" t="s">
        <v>7</v>
      </c>
      <c r="U205" s="30" t="s">
        <v>7</v>
      </c>
      <c r="V205" s="30"/>
      <c r="W205" s="30"/>
      <c r="X205" s="30"/>
      <c r="Y205" s="140"/>
      <c r="Z205" s="30" t="s">
        <v>6</v>
      </c>
      <c r="AA205" s="30" t="s">
        <v>6</v>
      </c>
      <c r="AB205" s="30" t="s">
        <v>7</v>
      </c>
      <c r="AC205" s="38" t="s">
        <v>7</v>
      </c>
      <c r="AD205" s="38"/>
      <c r="AE205" s="22"/>
      <c r="AF205" s="22"/>
      <c r="AG205" s="223"/>
      <c r="AH205" s="39">
        <f>COUNTIF(C205:AG205,"Д")+COUNTIF(C205:AG205,"Н")+COUNTIF(C205:AG205,"ПД")+COUNTIF(C205:AG205,"ПН")+COUNTIF(C205:AG205,"Д/8")</f>
        <v>15</v>
      </c>
    </row>
    <row r="206" spans="1:34" ht="17.399999999999999" x14ac:dyDescent="0.3">
      <c r="A206" s="52"/>
      <c r="B206" s="26" t="e">
        <f>AVERAGE(C206:AG206)</f>
        <v>#DIV/0!</v>
      </c>
      <c r="C206" s="138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8"/>
      <c r="Y206" s="140"/>
      <c r="Z206" s="38"/>
      <c r="AA206" s="38"/>
      <c r="AB206" s="38"/>
      <c r="AC206" s="38"/>
      <c r="AD206" s="38"/>
      <c r="AE206" s="22"/>
      <c r="AF206" s="22"/>
      <c r="AG206" s="23"/>
      <c r="AH206" s="64"/>
    </row>
    <row r="207" spans="1:34" ht="17.399999999999999" x14ac:dyDescent="0.3">
      <c r="A207" s="224"/>
      <c r="B207" s="29"/>
      <c r="C207" s="141"/>
      <c r="D207" s="139"/>
      <c r="E207" s="139"/>
      <c r="F207" s="139"/>
      <c r="G207" s="139"/>
      <c r="H207" s="139"/>
      <c r="I207" s="139"/>
      <c r="J207" s="139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1"/>
      <c r="Z207" s="30"/>
      <c r="AA207" s="32"/>
      <c r="AB207" s="32"/>
      <c r="AC207" s="32"/>
      <c r="AD207" s="32"/>
      <c r="AE207" s="22"/>
      <c r="AF207" s="22"/>
      <c r="AG207" s="23"/>
      <c r="AH207" s="34"/>
    </row>
    <row r="208" spans="1:34" ht="33.6" x14ac:dyDescent="0.3">
      <c r="A208" s="197" t="s">
        <v>93</v>
      </c>
      <c r="B208" s="225" t="s">
        <v>2</v>
      </c>
      <c r="C208" s="226"/>
      <c r="D208" s="37"/>
      <c r="E208" s="37"/>
      <c r="F208" s="37"/>
      <c r="G208" s="227" t="s">
        <v>94</v>
      </c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201"/>
      <c r="AF208" s="201"/>
      <c r="AG208" s="201"/>
      <c r="AH208" s="78">
        <f>COUNTIF(C208:AG208,"Д")+COUNTIF(C208:AG208,"Н")+COUNTIF(C208:AG208,"ПД")+COUNTIF(C208:AG208,"ПН")+COUNTIF(C208:AG208,"Д/8")</f>
        <v>0</v>
      </c>
    </row>
    <row r="209" spans="1:34" ht="17.399999999999999" x14ac:dyDescent="0.3">
      <c r="A209" s="228"/>
      <c r="B209" s="26" t="e">
        <f>AVERAGE(C209:AG209)</f>
        <v>#DIV/0!</v>
      </c>
      <c r="C209" s="226"/>
      <c r="D209" s="37"/>
      <c r="E209" s="22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201"/>
      <c r="AF209" s="201"/>
      <c r="AG209" s="201"/>
      <c r="AH209" s="229"/>
    </row>
    <row r="210" spans="1:34" ht="17.399999999999999" x14ac:dyDescent="0.3">
      <c r="A210" s="48"/>
      <c r="B210" s="57"/>
      <c r="C210" s="138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8"/>
      <c r="Y210" s="140"/>
      <c r="Z210" s="38"/>
      <c r="AA210" s="32"/>
      <c r="AB210" s="32"/>
      <c r="AC210" s="32"/>
      <c r="AD210" s="32"/>
      <c r="AE210" s="22"/>
      <c r="AF210" s="22"/>
      <c r="AG210" s="23"/>
      <c r="AH210" s="34"/>
    </row>
    <row r="211" spans="1:34" ht="33.6" x14ac:dyDescent="0.3">
      <c r="A211" s="54" t="s">
        <v>95</v>
      </c>
      <c r="B211" s="20"/>
      <c r="C211" s="141"/>
      <c r="D211" s="139" t="s">
        <v>6</v>
      </c>
      <c r="E211" s="139" t="s">
        <v>6</v>
      </c>
      <c r="F211" s="139" t="s">
        <v>7</v>
      </c>
      <c r="G211" s="139" t="s">
        <v>7</v>
      </c>
      <c r="H211" s="139"/>
      <c r="I211" s="139"/>
      <c r="J211" s="139"/>
      <c r="K211" s="30"/>
      <c r="L211" s="30" t="s">
        <v>6</v>
      </c>
      <c r="M211" s="30" t="s">
        <v>6</v>
      </c>
      <c r="N211" s="30" t="s">
        <v>7</v>
      </c>
      <c r="O211" s="30" t="s">
        <v>7</v>
      </c>
      <c r="P211" s="30"/>
      <c r="Q211" s="30"/>
      <c r="R211" s="30"/>
      <c r="S211" s="30"/>
      <c r="T211" s="230" t="s">
        <v>6</v>
      </c>
      <c r="U211" s="230" t="s">
        <v>6</v>
      </c>
      <c r="V211" s="230" t="s">
        <v>7</v>
      </c>
      <c r="W211" s="230" t="s">
        <v>7</v>
      </c>
      <c r="X211" s="38"/>
      <c r="Y211" s="140"/>
      <c r="Z211" s="30"/>
      <c r="AA211" s="30"/>
      <c r="AB211" s="230" t="s">
        <v>6</v>
      </c>
      <c r="AC211" s="230" t="s">
        <v>6</v>
      </c>
      <c r="AD211" s="230" t="s">
        <v>7</v>
      </c>
      <c r="AE211" s="22"/>
      <c r="AF211" s="22"/>
      <c r="AG211" s="23"/>
      <c r="AH211" s="24">
        <f>COUNTIF(C211:AG211,"Д")+COUNTIF(C211:AG211,"Н")+COUNTIF(C211:AG211,"ПД")+COUNTIF(C211:AG211,"ПН")+COUNTIF(C211:AG211,"Д/8")</f>
        <v>15</v>
      </c>
    </row>
    <row r="212" spans="1:34" ht="17.399999999999999" x14ac:dyDescent="0.3">
      <c r="A212" s="202"/>
      <c r="B212" s="26" t="e">
        <f>AVERAGE(C212:AG212)</f>
        <v>#DIV/0!</v>
      </c>
      <c r="C212" s="138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140"/>
      <c r="Z212" s="30"/>
      <c r="AA212" s="30"/>
      <c r="AB212" s="30"/>
      <c r="AC212" s="30"/>
      <c r="AD212" s="30"/>
      <c r="AE212" s="22"/>
      <c r="AF212" s="22"/>
      <c r="AG212" s="23"/>
      <c r="AH212" s="231"/>
    </row>
    <row r="213" spans="1:34" ht="17.399999999999999" x14ac:dyDescent="0.3">
      <c r="A213" s="120"/>
      <c r="B213" s="57"/>
      <c r="C213" s="141"/>
      <c r="D213" s="139"/>
      <c r="E213" s="139"/>
      <c r="F213" s="139"/>
      <c r="G213" s="139"/>
      <c r="H213" s="139"/>
      <c r="I213" s="139"/>
      <c r="J213" s="139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1"/>
      <c r="Z213" s="30"/>
      <c r="AA213" s="32"/>
      <c r="AB213" s="32"/>
      <c r="AC213" s="32"/>
      <c r="AD213" s="32"/>
      <c r="AE213" s="22"/>
      <c r="AF213" s="22"/>
      <c r="AG213" s="23"/>
      <c r="AH213" s="34"/>
    </row>
    <row r="214" spans="1:34" ht="50.4" x14ac:dyDescent="0.3">
      <c r="A214" s="54" t="s">
        <v>96</v>
      </c>
      <c r="B214" s="65"/>
      <c r="C214" s="138"/>
      <c r="D214" s="30"/>
      <c r="E214" s="30"/>
      <c r="F214" s="30" t="s">
        <v>6</v>
      </c>
      <c r="G214" s="30" t="s">
        <v>6</v>
      </c>
      <c r="H214" s="30" t="s">
        <v>7</v>
      </c>
      <c r="I214" s="30" t="s">
        <v>7</v>
      </c>
      <c r="J214" s="30"/>
      <c r="K214" s="30"/>
      <c r="L214" s="30"/>
      <c r="M214" s="30"/>
      <c r="N214" s="30" t="s">
        <v>6</v>
      </c>
      <c r="O214" s="30" t="s">
        <v>6</v>
      </c>
      <c r="P214" s="30" t="s">
        <v>7</v>
      </c>
      <c r="Q214" s="30" t="s">
        <v>7</v>
      </c>
      <c r="R214" s="30"/>
      <c r="S214" s="30"/>
      <c r="T214" s="30"/>
      <c r="U214" s="30"/>
      <c r="V214" s="30" t="s">
        <v>6</v>
      </c>
      <c r="W214" s="30" t="s">
        <v>6</v>
      </c>
      <c r="X214" s="30" t="s">
        <v>7</v>
      </c>
      <c r="Y214" s="31" t="s">
        <v>7</v>
      </c>
      <c r="Z214" s="30"/>
      <c r="AA214" s="38"/>
      <c r="AB214" s="38"/>
      <c r="AC214" s="38"/>
      <c r="AD214" s="38" t="s">
        <v>6</v>
      </c>
      <c r="AE214" s="22"/>
      <c r="AF214" s="22"/>
      <c r="AG214" s="23"/>
      <c r="AH214" s="67">
        <f>COUNTIF(C214:AG214,"Д")+COUNTIF(C214:AG214,"Н")+COUNTIF(C214:AG214,"ПД")+COUNTIF(C214:AG214,"ПН")+COUNTIF(C214:AG214,"Д/8")</f>
        <v>13</v>
      </c>
    </row>
    <row r="215" spans="1:34" ht="17.399999999999999" x14ac:dyDescent="0.3">
      <c r="A215" s="126"/>
      <c r="B215" s="73" t="e">
        <f>AVERAGE(C215:AG215)</f>
        <v>#DIV/0!</v>
      </c>
      <c r="C215" s="138"/>
      <c r="D215" s="30"/>
      <c r="E215" s="139"/>
      <c r="F215" s="139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75"/>
      <c r="Z215" s="185"/>
      <c r="AA215" s="38"/>
      <c r="AB215" s="38"/>
      <c r="AC215" s="38"/>
      <c r="AD215" s="38"/>
      <c r="AE215" s="22"/>
      <c r="AF215" s="22"/>
      <c r="AG215" s="23"/>
      <c r="AH215" s="64"/>
    </row>
    <row r="216" spans="1:34" ht="18" thickBot="1" x14ac:dyDescent="0.35">
      <c r="A216" s="224"/>
      <c r="B216" s="232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75"/>
      <c r="Z216" s="185"/>
      <c r="AA216" s="32"/>
      <c r="AB216" s="32"/>
      <c r="AC216" s="32"/>
      <c r="AD216" s="32"/>
      <c r="AE216" s="22"/>
      <c r="AF216" s="22"/>
      <c r="AG216" s="23"/>
      <c r="AH216" s="114"/>
    </row>
    <row r="217" spans="1:34" ht="17.399999999999999" x14ac:dyDescent="0.3">
      <c r="A217" s="233" t="s">
        <v>97</v>
      </c>
      <c r="B217" s="234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91" t="s">
        <v>24</v>
      </c>
      <c r="Q217" s="91" t="s">
        <v>24</v>
      </c>
      <c r="R217" s="91" t="s">
        <v>27</v>
      </c>
      <c r="S217" s="91" t="s">
        <v>27</v>
      </c>
      <c r="T217" s="61"/>
      <c r="U217" s="61"/>
      <c r="V217" s="61"/>
      <c r="W217" s="61"/>
      <c r="X217" s="91" t="s">
        <v>24</v>
      </c>
      <c r="Y217" s="91" t="s">
        <v>24</v>
      </c>
      <c r="Z217" s="91" t="s">
        <v>27</v>
      </c>
      <c r="AA217" s="91" t="s">
        <v>27</v>
      </c>
      <c r="AB217" s="61"/>
      <c r="AC217" s="61"/>
      <c r="AD217" s="61"/>
      <c r="AE217" s="61"/>
      <c r="AF217" s="61"/>
      <c r="AG217" s="61"/>
      <c r="AH217" s="64"/>
    </row>
    <row r="218" spans="1:34" ht="17.399999999999999" x14ac:dyDescent="0.3">
      <c r="A218" s="235" t="s">
        <v>98</v>
      </c>
      <c r="B218" s="234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236" t="s">
        <v>24</v>
      </c>
      <c r="U218" s="236" t="s">
        <v>24</v>
      </c>
      <c r="V218" s="236" t="s">
        <v>27</v>
      </c>
      <c r="W218" s="236" t="s">
        <v>27</v>
      </c>
      <c r="X218" s="61"/>
      <c r="Y218" s="61"/>
      <c r="Z218" s="61"/>
      <c r="AA218" s="61"/>
      <c r="AB218" s="236" t="s">
        <v>24</v>
      </c>
      <c r="AC218" s="236" t="s">
        <v>24</v>
      </c>
      <c r="AD218" s="236" t="s">
        <v>27</v>
      </c>
      <c r="AE218" s="61"/>
      <c r="AF218" s="61"/>
      <c r="AG218" s="61"/>
      <c r="AH218" s="64"/>
    </row>
    <row r="219" spans="1:34" ht="17.399999999999999" x14ac:dyDescent="0.3">
      <c r="A219" s="237" t="s">
        <v>99</v>
      </c>
      <c r="B219" s="234"/>
      <c r="C219" s="88" t="s">
        <v>27</v>
      </c>
      <c r="D219" s="61"/>
      <c r="E219" s="61"/>
      <c r="F219" s="61"/>
      <c r="G219" s="61"/>
      <c r="H219" s="88" t="s">
        <v>24</v>
      </c>
      <c r="I219" s="88" t="s">
        <v>24</v>
      </c>
      <c r="J219" s="88" t="s">
        <v>27</v>
      </c>
      <c r="K219" s="88" t="s">
        <v>27</v>
      </c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4"/>
    </row>
    <row r="220" spans="1:34" ht="18" thickBot="1" x14ac:dyDescent="0.35">
      <c r="A220" s="238" t="s">
        <v>11</v>
      </c>
      <c r="B220" s="135"/>
      <c r="C220" s="239"/>
      <c r="D220" s="239"/>
      <c r="E220" s="239"/>
      <c r="F220" s="239"/>
      <c r="G220" s="239"/>
      <c r="H220" s="239"/>
      <c r="I220" s="239"/>
      <c r="J220" s="239"/>
      <c r="K220" s="239"/>
      <c r="L220" s="239"/>
      <c r="M220" s="239"/>
      <c r="N220" s="239"/>
      <c r="O220" s="239"/>
      <c r="P220" s="239"/>
      <c r="Q220" s="239"/>
      <c r="R220" s="239"/>
      <c r="S220" s="239"/>
      <c r="T220" s="239"/>
      <c r="U220" s="239"/>
      <c r="V220" s="239"/>
      <c r="W220" s="239"/>
      <c r="X220" s="239"/>
      <c r="Y220" s="239"/>
      <c r="Z220" s="239"/>
      <c r="AA220" s="240"/>
      <c r="AB220" s="239"/>
      <c r="AC220" s="240"/>
      <c r="AD220" s="240"/>
      <c r="AE220" s="240"/>
      <c r="AF220" s="240"/>
      <c r="AG220" s="240"/>
      <c r="AH220" s="64"/>
    </row>
    <row r="221" spans="1:34" ht="32.4" thickBot="1" x14ac:dyDescent="0.35">
      <c r="A221" s="219"/>
      <c r="B221" s="220"/>
      <c r="C221" s="241"/>
      <c r="D221" s="241"/>
      <c r="E221" s="241"/>
      <c r="F221" s="241"/>
      <c r="G221" s="241"/>
      <c r="H221" s="241"/>
      <c r="I221" s="241"/>
      <c r="J221" s="241"/>
      <c r="K221" s="241"/>
      <c r="L221" s="241"/>
      <c r="M221" s="241"/>
      <c r="N221" s="242" t="s">
        <v>100</v>
      </c>
      <c r="O221" s="241"/>
      <c r="P221" s="241"/>
      <c r="Q221" s="242"/>
      <c r="R221" s="241"/>
      <c r="S221" s="241"/>
      <c r="T221" s="241"/>
      <c r="U221" s="241"/>
      <c r="V221" s="241"/>
      <c r="W221" s="241"/>
      <c r="X221" s="241"/>
      <c r="Y221" s="243" t="s">
        <v>2</v>
      </c>
      <c r="Z221" s="241"/>
      <c r="AA221" s="241"/>
      <c r="AB221" s="241"/>
      <c r="AC221" s="241"/>
      <c r="AD221" s="241"/>
      <c r="AE221" s="241"/>
      <c r="AF221" s="241"/>
      <c r="AG221" s="244"/>
      <c r="AH221" s="64"/>
    </row>
    <row r="222" spans="1:34" ht="18" thickBot="1" x14ac:dyDescent="0.35">
      <c r="A222" s="238" t="s">
        <v>11</v>
      </c>
      <c r="B222" s="60"/>
      <c r="C222" s="210" t="s">
        <v>88</v>
      </c>
      <c r="D222" s="210" t="s">
        <v>88</v>
      </c>
      <c r="E222" s="210" t="s">
        <v>88</v>
      </c>
      <c r="F222" s="210" t="s">
        <v>88</v>
      </c>
      <c r="G222" s="210" t="s">
        <v>88</v>
      </c>
      <c r="H222" s="210" t="s">
        <v>88</v>
      </c>
      <c r="I222" s="210" t="s">
        <v>88</v>
      </c>
      <c r="J222" s="210" t="s">
        <v>88</v>
      </c>
      <c r="K222" s="210" t="s">
        <v>88</v>
      </c>
      <c r="L222" s="210" t="s">
        <v>88</v>
      </c>
      <c r="M222" s="210" t="s">
        <v>88</v>
      </c>
      <c r="N222" s="210" t="s">
        <v>88</v>
      </c>
      <c r="O222" s="210" t="s">
        <v>88</v>
      </c>
      <c r="P222" s="210" t="s">
        <v>88</v>
      </c>
      <c r="Q222" s="210" t="s">
        <v>88</v>
      </c>
      <c r="R222" s="210" t="s">
        <v>88</v>
      </c>
      <c r="S222" s="210" t="s">
        <v>88</v>
      </c>
      <c r="T222" s="210" t="s">
        <v>88</v>
      </c>
      <c r="U222" s="210" t="s">
        <v>88</v>
      </c>
      <c r="V222" s="210" t="s">
        <v>88</v>
      </c>
      <c r="W222" s="210" t="s">
        <v>88</v>
      </c>
      <c r="X222" s="210" t="s">
        <v>88</v>
      </c>
      <c r="Y222" s="210" t="s">
        <v>88</v>
      </c>
      <c r="Z222" s="210" t="s">
        <v>88</v>
      </c>
      <c r="AA222" s="210" t="s">
        <v>88</v>
      </c>
      <c r="AB222" s="210" t="s">
        <v>88</v>
      </c>
      <c r="AC222" s="210" t="s">
        <v>88</v>
      </c>
      <c r="AD222" s="210" t="s">
        <v>88</v>
      </c>
      <c r="AE222" s="62"/>
      <c r="AF222" s="62"/>
      <c r="AG222" s="62"/>
      <c r="AH222" s="245"/>
    </row>
    <row r="223" spans="1:34" ht="32.4" thickBot="1" x14ac:dyDescent="0.35">
      <c r="A223" s="219"/>
      <c r="B223" s="220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46" t="s">
        <v>101</v>
      </c>
      <c r="O223" s="246"/>
      <c r="P223" s="221"/>
      <c r="Q223" s="246"/>
      <c r="R223" s="221"/>
      <c r="S223" s="221"/>
      <c r="T223" s="221"/>
      <c r="U223" s="221"/>
      <c r="V223" s="16" t="s">
        <v>2</v>
      </c>
      <c r="W223" s="221"/>
      <c r="X223" s="221"/>
      <c r="Y223" s="221"/>
      <c r="Z223" s="221"/>
      <c r="AA223" s="221"/>
      <c r="AB223" s="221"/>
      <c r="AC223" s="221"/>
      <c r="AD223" s="221"/>
      <c r="AE223" s="221"/>
      <c r="AF223" s="221"/>
      <c r="AG223" s="222"/>
      <c r="AH223" s="97"/>
    </row>
    <row r="224" spans="1:34" ht="16.8" x14ac:dyDescent="0.3">
      <c r="A224" s="247" t="s">
        <v>102</v>
      </c>
      <c r="B224" s="248"/>
      <c r="C224" s="30" t="s">
        <v>6</v>
      </c>
      <c r="D224" s="30" t="s">
        <v>6</v>
      </c>
      <c r="E224" s="30" t="s">
        <v>6</v>
      </c>
      <c r="F224" s="30" t="s">
        <v>7</v>
      </c>
      <c r="G224" s="30"/>
      <c r="H224" s="30"/>
      <c r="I224" s="30"/>
      <c r="J224" s="30"/>
      <c r="K224" s="30" t="s">
        <v>6</v>
      </c>
      <c r="L224" s="30" t="s">
        <v>6</v>
      </c>
      <c r="M224" s="30" t="s">
        <v>7</v>
      </c>
      <c r="N224" s="30"/>
      <c r="O224" s="30"/>
      <c r="P224" s="30"/>
      <c r="Q224" s="30"/>
      <c r="R224" s="30"/>
      <c r="S224" s="30" t="s">
        <v>6</v>
      </c>
      <c r="T224" s="30" t="s">
        <v>6</v>
      </c>
      <c r="U224" s="30" t="s">
        <v>7</v>
      </c>
      <c r="V224" s="30" t="s">
        <v>7</v>
      </c>
      <c r="W224" s="30"/>
      <c r="X224" s="30"/>
      <c r="Y224" s="31"/>
      <c r="Z224" s="30"/>
      <c r="AA224" s="30" t="s">
        <v>6</v>
      </c>
      <c r="AB224" s="30" t="s">
        <v>6</v>
      </c>
      <c r="AC224" s="30" t="s">
        <v>7</v>
      </c>
      <c r="AD224" s="30" t="s">
        <v>7</v>
      </c>
      <c r="AE224" s="22"/>
      <c r="AF224" s="22"/>
      <c r="AG224" s="23"/>
      <c r="AH224" s="249">
        <f>COUNTIF(C224:AG224,"Д")+COUNTIF(C224:AG224,"Н")+COUNTIF(C224:AG224,"ПД")+COUNTIF(C224:AG224,"ПН")+COUNTIF(C224:AG224,"Д/8")</f>
        <v>15</v>
      </c>
    </row>
    <row r="225" spans="1:34" ht="17.399999999999999" x14ac:dyDescent="0.3">
      <c r="A225" s="52"/>
      <c r="B225" s="26" t="e">
        <f>AVERAGE(C225:AG225)</f>
        <v>#DIV/0!</v>
      </c>
      <c r="C225" s="138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8"/>
      <c r="Y225" s="140"/>
      <c r="Z225" s="38"/>
      <c r="AA225" s="38"/>
      <c r="AB225" s="38"/>
      <c r="AC225" s="38"/>
      <c r="AD225" s="38"/>
      <c r="AE225" s="22"/>
      <c r="AF225" s="22"/>
      <c r="AG225" s="23"/>
      <c r="AH225" s="64"/>
    </row>
    <row r="226" spans="1:34" ht="17.399999999999999" x14ac:dyDescent="0.3">
      <c r="A226" s="48"/>
      <c r="B226" s="250"/>
      <c r="C226" s="141"/>
      <c r="D226" s="139"/>
      <c r="E226" s="139"/>
      <c r="F226" s="139"/>
      <c r="G226" s="139"/>
      <c r="H226" s="139"/>
      <c r="I226" s="139"/>
      <c r="J226" s="139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1"/>
      <c r="Z226" s="30"/>
      <c r="AA226" s="32"/>
      <c r="AB226" s="32"/>
      <c r="AC226" s="32"/>
      <c r="AD226" s="32"/>
      <c r="AE226" s="33"/>
      <c r="AF226" s="33"/>
      <c r="AG226" s="23"/>
      <c r="AH226" s="34"/>
    </row>
    <row r="227" spans="1:34" ht="33.6" x14ac:dyDescent="0.3">
      <c r="A227" s="43" t="s">
        <v>103</v>
      </c>
      <c r="B227" s="225"/>
      <c r="C227" s="140" t="s">
        <v>15</v>
      </c>
      <c r="D227" s="140" t="s">
        <v>15</v>
      </c>
      <c r="E227" s="140" t="s">
        <v>15</v>
      </c>
      <c r="F227" s="140" t="s">
        <v>15</v>
      </c>
      <c r="G227" s="140" t="s">
        <v>15</v>
      </c>
      <c r="H227" s="140" t="s">
        <v>15</v>
      </c>
      <c r="I227" s="140" t="s">
        <v>15</v>
      </c>
      <c r="J227" s="140" t="s">
        <v>15</v>
      </c>
      <c r="K227" s="140" t="s">
        <v>15</v>
      </c>
      <c r="L227" s="140" t="s">
        <v>15</v>
      </c>
      <c r="M227" s="140" t="s">
        <v>15</v>
      </c>
      <c r="N227" s="140" t="s">
        <v>15</v>
      </c>
      <c r="O227" s="140" t="s">
        <v>15</v>
      </c>
      <c r="P227" s="140" t="s">
        <v>15</v>
      </c>
      <c r="Q227" s="30" t="s">
        <v>7</v>
      </c>
      <c r="R227" s="30" t="s">
        <v>7</v>
      </c>
      <c r="S227" s="30"/>
      <c r="T227" s="30"/>
      <c r="U227" s="30"/>
      <c r="V227" s="30" t="s">
        <v>6</v>
      </c>
      <c r="W227" s="30" t="s">
        <v>6</v>
      </c>
      <c r="X227" s="30" t="s">
        <v>6</v>
      </c>
      <c r="Y227" s="31" t="s">
        <v>7</v>
      </c>
      <c r="Z227" s="30" t="s">
        <v>7</v>
      </c>
      <c r="AA227" s="30"/>
      <c r="AB227" s="30"/>
      <c r="AC227" s="38"/>
      <c r="AD227" s="38"/>
      <c r="AE227" s="22"/>
      <c r="AF227" s="22"/>
      <c r="AG227" s="23"/>
      <c r="AH227" s="67">
        <f>COUNTIF(C227:AG227,"Д")+COUNTIF(C227:AG227,"Н")+COUNTIF(C227:AG227,"ПД")+COUNTIF(C227:AG227,"ПН")+COUNTIF(C227:AG227,"Д/8")</f>
        <v>7</v>
      </c>
    </row>
    <row r="228" spans="1:34" ht="17.399999999999999" x14ac:dyDescent="0.3">
      <c r="A228" s="202"/>
      <c r="B228" s="26" t="e">
        <f>AVERAGE(C228:AG228)</f>
        <v>#DIV/0!</v>
      </c>
      <c r="C228" s="138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8"/>
      <c r="Y228" s="31"/>
      <c r="Z228" s="38"/>
      <c r="AA228" s="38"/>
      <c r="AB228" s="38"/>
      <c r="AC228" s="38"/>
      <c r="AD228" s="38"/>
      <c r="AE228" s="22"/>
      <c r="AF228" s="22"/>
      <c r="AG228" s="23"/>
      <c r="AH228" s="64"/>
    </row>
    <row r="229" spans="1:34" ht="17.399999999999999" x14ac:dyDescent="0.3">
      <c r="A229" s="42"/>
      <c r="B229" s="250"/>
      <c r="C229" s="141"/>
      <c r="D229" s="139"/>
      <c r="E229" s="139"/>
      <c r="F229" s="139"/>
      <c r="G229" s="139"/>
      <c r="H229" s="139"/>
      <c r="I229" s="139"/>
      <c r="J229" s="139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1"/>
      <c r="Z229" s="30"/>
      <c r="AA229" s="32"/>
      <c r="AB229" s="32"/>
      <c r="AC229" s="32"/>
      <c r="AD229" s="32"/>
      <c r="AE229" s="22"/>
      <c r="AF229" s="22"/>
      <c r="AG229" s="22"/>
      <c r="AH229" s="82"/>
    </row>
    <row r="230" spans="1:34" ht="50.4" x14ac:dyDescent="0.3">
      <c r="A230" s="54" t="s">
        <v>104</v>
      </c>
      <c r="B230" s="84" t="s">
        <v>2</v>
      </c>
      <c r="C230" s="138"/>
      <c r="D230" s="30"/>
      <c r="E230" s="30"/>
      <c r="F230" s="30" t="s">
        <v>6</v>
      </c>
      <c r="G230" s="30" t="s">
        <v>7</v>
      </c>
      <c r="H230" s="30" t="s">
        <v>7</v>
      </c>
      <c r="I230" s="139"/>
      <c r="J230" s="30"/>
      <c r="K230" s="30"/>
      <c r="L230" s="30"/>
      <c r="M230" s="30" t="s">
        <v>6</v>
      </c>
      <c r="N230" s="30" t="s">
        <v>7</v>
      </c>
      <c r="O230" s="30" t="s">
        <v>7</v>
      </c>
      <c r="P230" s="30" t="s">
        <v>7</v>
      </c>
      <c r="Q230" s="139"/>
      <c r="R230" s="30"/>
      <c r="S230" s="30"/>
      <c r="T230" s="30"/>
      <c r="U230" s="30" t="s">
        <v>6</v>
      </c>
      <c r="V230" s="30"/>
      <c r="W230" s="30" t="s">
        <v>7</v>
      </c>
      <c r="X230" s="30" t="s">
        <v>7</v>
      </c>
      <c r="Y230" s="31"/>
      <c r="Z230" s="30"/>
      <c r="AA230" s="38"/>
      <c r="AB230" s="38"/>
      <c r="AC230" s="38" t="s">
        <v>6</v>
      </c>
      <c r="AD230" s="38" t="s">
        <v>6</v>
      </c>
      <c r="AE230" s="22"/>
      <c r="AF230" s="22"/>
      <c r="AG230" s="22"/>
      <c r="AH230" s="113">
        <f>COUNTIF(C230:AG230,"Д")+COUNTIF(C230:AG230,"Н")+COUNTIF(C230:AG230,"ПД")+COUNTIF(C230:AG230,"ПН")+COUNTIF(C230:AG230,"Д/8")</f>
        <v>12</v>
      </c>
    </row>
    <row r="231" spans="1:34" ht="17.399999999999999" x14ac:dyDescent="0.3">
      <c r="A231" s="54"/>
      <c r="B231" s="26" t="e">
        <f>AVERAGE(C231:AG231)</f>
        <v>#DIV/0!</v>
      </c>
      <c r="C231" s="141"/>
      <c r="D231" s="139"/>
      <c r="E231" s="139"/>
      <c r="F231" s="139"/>
      <c r="G231" s="139"/>
      <c r="H231" s="139"/>
      <c r="I231" s="139"/>
      <c r="J231" s="30"/>
      <c r="K231" s="30"/>
      <c r="L231" s="30"/>
      <c r="M231" s="139"/>
      <c r="N231" s="139"/>
      <c r="O231" s="139"/>
      <c r="P231" s="139"/>
      <c r="Q231" s="139"/>
      <c r="R231" s="30"/>
      <c r="S231" s="30"/>
      <c r="T231" s="30"/>
      <c r="U231" s="30"/>
      <c r="V231" s="30"/>
      <c r="W231" s="30"/>
      <c r="X231" s="30"/>
      <c r="Y231" s="31"/>
      <c r="Z231" s="30"/>
      <c r="AA231" s="38"/>
      <c r="AB231" s="38"/>
      <c r="AC231" s="38"/>
      <c r="AD231" s="38"/>
      <c r="AE231" s="22"/>
      <c r="AF231" s="22"/>
      <c r="AG231" s="22"/>
      <c r="AH231" s="229"/>
    </row>
    <row r="232" spans="1:34" ht="17.399999999999999" x14ac:dyDescent="0.3">
      <c r="A232" s="251"/>
      <c r="B232" s="29"/>
      <c r="C232" s="138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1"/>
      <c r="Z232" s="30"/>
      <c r="AA232" s="32"/>
      <c r="AB232" s="32"/>
      <c r="AC232" s="32"/>
      <c r="AD232" s="32"/>
      <c r="AE232" s="33"/>
      <c r="AF232" s="33"/>
      <c r="AG232" s="22"/>
      <c r="AH232" s="82"/>
    </row>
    <row r="233" spans="1:34" ht="50.4" x14ac:dyDescent="0.3">
      <c r="A233" s="43" t="s">
        <v>105</v>
      </c>
      <c r="B233" s="133"/>
      <c r="C233" s="138" t="s">
        <v>7</v>
      </c>
      <c r="D233" s="30" t="s">
        <v>7</v>
      </c>
      <c r="E233" s="30"/>
      <c r="F233" s="139"/>
      <c r="G233" s="30"/>
      <c r="H233" s="30"/>
      <c r="I233" s="30" t="s">
        <v>6</v>
      </c>
      <c r="J233" s="30" t="s">
        <v>6</v>
      </c>
      <c r="K233" s="30" t="s">
        <v>7</v>
      </c>
      <c r="L233" s="30" t="s">
        <v>7</v>
      </c>
      <c r="M233" s="30"/>
      <c r="N233" s="30"/>
      <c r="O233" s="30"/>
      <c r="P233" s="30"/>
      <c r="Q233" s="30" t="s">
        <v>6</v>
      </c>
      <c r="R233" s="30" t="s">
        <v>6</v>
      </c>
      <c r="S233" s="30" t="s">
        <v>7</v>
      </c>
      <c r="T233" s="30" t="s">
        <v>7</v>
      </c>
      <c r="U233" s="30"/>
      <c r="V233" s="30"/>
      <c r="W233" s="30"/>
      <c r="X233" s="30"/>
      <c r="Y233" s="31"/>
      <c r="Z233" s="30" t="s">
        <v>6</v>
      </c>
      <c r="AA233" s="38" t="s">
        <v>7</v>
      </c>
      <c r="AB233" s="38" t="s">
        <v>7</v>
      </c>
      <c r="AC233" s="38"/>
      <c r="AD233" s="38"/>
      <c r="AE233" s="22"/>
      <c r="AF233" s="22"/>
      <c r="AG233" s="22"/>
      <c r="AH233" s="113">
        <f>COUNTIF(C233:AG233,"Д")+COUNTIF(C233:AG233,"Н")+COUNTIF(C233:AG233,"ПД")+COUNTIF(C233:AG233,"ПН")+COUNTIF(C233:AG233,"Д/8")</f>
        <v>13</v>
      </c>
    </row>
    <row r="234" spans="1:34" ht="18" thickBot="1" x14ac:dyDescent="0.35">
      <c r="A234" s="54"/>
      <c r="B234" s="26" t="e">
        <f>AVERAGE(C234:AG234)</f>
        <v>#DIV/0!</v>
      </c>
      <c r="C234" s="138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1"/>
      <c r="Z234" s="30"/>
      <c r="AA234" s="38"/>
      <c r="AB234" s="38"/>
      <c r="AC234" s="38"/>
      <c r="AD234" s="38"/>
      <c r="AE234" s="22"/>
      <c r="AF234" s="22"/>
      <c r="AG234" s="22"/>
      <c r="AH234" s="252"/>
    </row>
    <row r="235" spans="1:34" ht="18" thickBot="1" x14ac:dyDescent="0.35">
      <c r="A235" s="237" t="s">
        <v>106</v>
      </c>
      <c r="B235" s="135"/>
      <c r="C235" s="61"/>
      <c r="D235" s="61"/>
      <c r="E235" s="61"/>
      <c r="F235" s="61"/>
      <c r="G235" s="88" t="s">
        <v>24</v>
      </c>
      <c r="H235" s="88" t="s">
        <v>24</v>
      </c>
      <c r="I235" s="88" t="s">
        <v>27</v>
      </c>
      <c r="J235" s="88" t="s">
        <v>27</v>
      </c>
      <c r="K235" s="61"/>
      <c r="L235" s="61"/>
      <c r="M235" s="61"/>
      <c r="N235" s="88" t="s">
        <v>24</v>
      </c>
      <c r="O235" s="88" t="s">
        <v>24</v>
      </c>
      <c r="P235" s="88" t="s">
        <v>24</v>
      </c>
      <c r="Q235" s="61"/>
      <c r="R235" s="61"/>
      <c r="S235" s="61"/>
      <c r="T235" s="61"/>
      <c r="U235" s="61"/>
      <c r="V235" s="61"/>
      <c r="W235" s="61"/>
      <c r="X235" s="61"/>
      <c r="Y235" s="88" t="s">
        <v>24</v>
      </c>
      <c r="Z235" s="61"/>
      <c r="AA235" s="61"/>
      <c r="AB235" s="61"/>
      <c r="AC235" s="61"/>
      <c r="AD235" s="61"/>
      <c r="AE235" s="61"/>
      <c r="AF235" s="62"/>
      <c r="AG235" s="62"/>
      <c r="AH235" s="64"/>
    </row>
    <row r="236" spans="1:34" ht="18" thickBot="1" x14ac:dyDescent="0.35">
      <c r="A236" s="238" t="s">
        <v>11</v>
      </c>
      <c r="B236" s="135"/>
      <c r="C236" s="61"/>
      <c r="D236" s="61"/>
      <c r="E236" s="253" t="s">
        <v>27</v>
      </c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2"/>
      <c r="AF236" s="62"/>
      <c r="AG236" s="62"/>
      <c r="AH236" s="64"/>
    </row>
    <row r="237" spans="1:34" ht="18" thickBot="1" x14ac:dyDescent="0.35">
      <c r="A237" s="254"/>
      <c r="B237" s="222"/>
      <c r="C237" s="255"/>
      <c r="D237" s="256"/>
      <c r="E237" s="256"/>
      <c r="F237" s="256"/>
      <c r="G237" s="256"/>
      <c r="H237" s="256"/>
      <c r="I237" s="256"/>
      <c r="J237" s="256"/>
      <c r="K237" s="256"/>
      <c r="L237" s="256"/>
      <c r="M237" s="256"/>
      <c r="N237" s="256"/>
      <c r="O237" s="256"/>
      <c r="P237" s="256"/>
      <c r="Q237" s="256" t="s">
        <v>107</v>
      </c>
      <c r="R237" s="256"/>
      <c r="S237" s="256"/>
      <c r="T237" s="256"/>
      <c r="U237" s="256"/>
      <c r="V237" s="256"/>
      <c r="W237" s="256"/>
      <c r="X237" s="256"/>
      <c r="Y237" s="256"/>
      <c r="Z237" s="256"/>
      <c r="AA237" s="256"/>
      <c r="AB237" s="256"/>
      <c r="AC237" s="256"/>
      <c r="AD237" s="256"/>
      <c r="AE237" s="256"/>
      <c r="AF237" s="256"/>
      <c r="AG237" s="257"/>
      <c r="AH237" s="229"/>
    </row>
    <row r="238" spans="1:34" ht="17.399999999999999" x14ac:dyDescent="0.3">
      <c r="A238" s="209" t="s">
        <v>11</v>
      </c>
      <c r="B238" s="234"/>
      <c r="C238" s="210" t="s">
        <v>88</v>
      </c>
      <c r="D238" s="210" t="s">
        <v>88</v>
      </c>
      <c r="E238" s="210" t="s">
        <v>88</v>
      </c>
      <c r="F238" s="210" t="s">
        <v>88</v>
      </c>
      <c r="G238" s="210" t="s">
        <v>88</v>
      </c>
      <c r="H238" s="210" t="s">
        <v>88</v>
      </c>
      <c r="I238" s="210" t="s">
        <v>88</v>
      </c>
      <c r="J238" s="210" t="s">
        <v>88</v>
      </c>
      <c r="K238" s="210" t="s">
        <v>88</v>
      </c>
      <c r="L238" s="210" t="s">
        <v>88</v>
      </c>
      <c r="M238" s="210" t="s">
        <v>88</v>
      </c>
      <c r="N238" s="210" t="s">
        <v>88</v>
      </c>
      <c r="O238" s="210" t="s">
        <v>88</v>
      </c>
      <c r="P238" s="210" t="s">
        <v>88</v>
      </c>
      <c r="Q238" s="210" t="s">
        <v>88</v>
      </c>
      <c r="R238" s="210" t="s">
        <v>88</v>
      </c>
      <c r="S238" s="210" t="s">
        <v>88</v>
      </c>
      <c r="T238" s="210" t="s">
        <v>88</v>
      </c>
      <c r="U238" s="210" t="s">
        <v>88</v>
      </c>
      <c r="V238" s="210" t="s">
        <v>88</v>
      </c>
      <c r="W238" s="210" t="s">
        <v>88</v>
      </c>
      <c r="X238" s="210" t="s">
        <v>88</v>
      </c>
      <c r="Y238" s="210" t="s">
        <v>88</v>
      </c>
      <c r="Z238" s="210" t="s">
        <v>88</v>
      </c>
      <c r="AA238" s="210" t="s">
        <v>88</v>
      </c>
      <c r="AB238" s="210" t="s">
        <v>88</v>
      </c>
      <c r="AC238" s="210" t="s">
        <v>88</v>
      </c>
      <c r="AD238" s="210" t="s">
        <v>88</v>
      </c>
      <c r="AE238" s="62"/>
      <c r="AF238" s="62"/>
      <c r="AG238" s="62"/>
      <c r="AH238" s="229"/>
    </row>
    <row r="239" spans="1:34" ht="17.399999999999999" x14ac:dyDescent="0.3">
      <c r="A239" s="258" t="s">
        <v>108</v>
      </c>
      <c r="B239" s="259" t="s">
        <v>90</v>
      </c>
      <c r="C239" s="214">
        <f t="shared" ref="C239:AG239" si="2">COUNTIF(C205:C238,"Д")+COUNTIF(C205:C238,"Н")+COUNTIF(C205:C238,"ПД")+COUNTIF(C205:C238,"ПН")+COUNTIF(C205:C238,"Д/8")</f>
        <v>3</v>
      </c>
      <c r="D239" s="214">
        <f t="shared" si="2"/>
        <v>4</v>
      </c>
      <c r="E239" s="214">
        <f t="shared" si="2"/>
        <v>3</v>
      </c>
      <c r="F239" s="214">
        <f t="shared" si="2"/>
        <v>4</v>
      </c>
      <c r="G239" s="214">
        <f t="shared" si="2"/>
        <v>3</v>
      </c>
      <c r="H239" s="214">
        <f t="shared" si="2"/>
        <v>2</v>
      </c>
      <c r="I239" s="214">
        <f t="shared" si="2"/>
        <v>2</v>
      </c>
      <c r="J239" s="214">
        <f t="shared" si="2"/>
        <v>2</v>
      </c>
      <c r="K239" s="214">
        <f t="shared" si="2"/>
        <v>3</v>
      </c>
      <c r="L239" s="214">
        <f t="shared" si="2"/>
        <v>4</v>
      </c>
      <c r="M239" s="214">
        <f t="shared" si="2"/>
        <v>4</v>
      </c>
      <c r="N239" s="214">
        <f t="shared" si="2"/>
        <v>3</v>
      </c>
      <c r="O239" s="214">
        <f t="shared" si="2"/>
        <v>3</v>
      </c>
      <c r="P239" s="214">
        <f t="shared" si="2"/>
        <v>2</v>
      </c>
      <c r="Q239" s="214">
        <f t="shared" si="2"/>
        <v>3</v>
      </c>
      <c r="R239" s="214">
        <f t="shared" si="2"/>
        <v>3</v>
      </c>
      <c r="S239" s="214">
        <f t="shared" si="2"/>
        <v>3</v>
      </c>
      <c r="T239" s="214">
        <f t="shared" si="2"/>
        <v>4</v>
      </c>
      <c r="U239" s="214">
        <f t="shared" si="2"/>
        <v>4</v>
      </c>
      <c r="V239" s="214">
        <f t="shared" si="2"/>
        <v>4</v>
      </c>
      <c r="W239" s="214">
        <f t="shared" si="2"/>
        <v>4</v>
      </c>
      <c r="X239" s="214">
        <f t="shared" si="2"/>
        <v>3</v>
      </c>
      <c r="Y239" s="214">
        <f t="shared" si="2"/>
        <v>2</v>
      </c>
      <c r="Z239" s="214">
        <f t="shared" si="2"/>
        <v>3</v>
      </c>
      <c r="AA239" s="214">
        <f t="shared" si="2"/>
        <v>3</v>
      </c>
      <c r="AB239" s="214">
        <f t="shared" si="2"/>
        <v>4</v>
      </c>
      <c r="AC239" s="214">
        <f t="shared" si="2"/>
        <v>4</v>
      </c>
      <c r="AD239" s="214">
        <f t="shared" si="2"/>
        <v>4</v>
      </c>
      <c r="AE239" s="214">
        <f t="shared" si="2"/>
        <v>0</v>
      </c>
      <c r="AF239" s="214">
        <f t="shared" si="2"/>
        <v>0</v>
      </c>
      <c r="AG239" s="215">
        <f t="shared" si="2"/>
        <v>0</v>
      </c>
      <c r="AH239" s="229"/>
    </row>
    <row r="240" spans="1:34" ht="18" thickBot="1" x14ac:dyDescent="0.35">
      <c r="A240" s="258" t="s">
        <v>108</v>
      </c>
      <c r="B240" s="260" t="s">
        <v>15</v>
      </c>
      <c r="C240" s="217">
        <f t="shared" ref="C240:AG240" si="3">COUNTIF(C205:C238,"от")</f>
        <v>1</v>
      </c>
      <c r="D240" s="217">
        <f t="shared" si="3"/>
        <v>1</v>
      </c>
      <c r="E240" s="217">
        <f t="shared" si="3"/>
        <v>1</v>
      </c>
      <c r="F240" s="217">
        <f t="shared" si="3"/>
        <v>1</v>
      </c>
      <c r="G240" s="217">
        <f t="shared" si="3"/>
        <v>1</v>
      </c>
      <c r="H240" s="217">
        <f t="shared" si="3"/>
        <v>1</v>
      </c>
      <c r="I240" s="217">
        <f t="shared" si="3"/>
        <v>1</v>
      </c>
      <c r="J240" s="217">
        <f t="shared" si="3"/>
        <v>1</v>
      </c>
      <c r="K240" s="217">
        <f t="shared" si="3"/>
        <v>1</v>
      </c>
      <c r="L240" s="217">
        <f t="shared" si="3"/>
        <v>1</v>
      </c>
      <c r="M240" s="217">
        <f t="shared" si="3"/>
        <v>1</v>
      </c>
      <c r="N240" s="217">
        <f t="shared" si="3"/>
        <v>1</v>
      </c>
      <c r="O240" s="217">
        <f t="shared" si="3"/>
        <v>1</v>
      </c>
      <c r="P240" s="217">
        <f t="shared" si="3"/>
        <v>1</v>
      </c>
      <c r="Q240" s="217">
        <f t="shared" si="3"/>
        <v>0</v>
      </c>
      <c r="R240" s="217">
        <f t="shared" si="3"/>
        <v>0</v>
      </c>
      <c r="S240" s="217">
        <f t="shared" si="3"/>
        <v>0</v>
      </c>
      <c r="T240" s="217">
        <f t="shared" si="3"/>
        <v>0</v>
      </c>
      <c r="U240" s="217">
        <f t="shared" si="3"/>
        <v>0</v>
      </c>
      <c r="V240" s="217">
        <f t="shared" si="3"/>
        <v>0</v>
      </c>
      <c r="W240" s="217">
        <f t="shared" si="3"/>
        <v>0</v>
      </c>
      <c r="X240" s="217">
        <f t="shared" si="3"/>
        <v>0</v>
      </c>
      <c r="Y240" s="217">
        <f t="shared" si="3"/>
        <v>0</v>
      </c>
      <c r="Z240" s="217">
        <f t="shared" si="3"/>
        <v>0</v>
      </c>
      <c r="AA240" s="217">
        <f t="shared" si="3"/>
        <v>0</v>
      </c>
      <c r="AB240" s="217">
        <f t="shared" si="3"/>
        <v>0</v>
      </c>
      <c r="AC240" s="217">
        <f t="shared" si="3"/>
        <v>0</v>
      </c>
      <c r="AD240" s="217">
        <f t="shared" si="3"/>
        <v>0</v>
      </c>
      <c r="AE240" s="217">
        <f t="shared" si="3"/>
        <v>0</v>
      </c>
      <c r="AF240" s="217">
        <f t="shared" si="3"/>
        <v>0</v>
      </c>
      <c r="AG240" s="261">
        <f t="shared" si="3"/>
        <v>0</v>
      </c>
      <c r="AH240" s="229"/>
    </row>
    <row r="241" spans="1:34" ht="21" thickBot="1" x14ac:dyDescent="0.35">
      <c r="A241" s="96"/>
      <c r="B241" s="13"/>
      <c r="C241" s="221"/>
      <c r="D241" s="221"/>
      <c r="E241" s="221"/>
      <c r="F241" s="221"/>
      <c r="G241" s="221"/>
      <c r="H241" s="221"/>
      <c r="I241" s="221"/>
      <c r="J241" s="221"/>
      <c r="K241" s="221"/>
      <c r="L241" s="221"/>
      <c r="M241" s="221"/>
      <c r="N241" s="221"/>
      <c r="O241" s="221"/>
      <c r="P241" s="221"/>
      <c r="Q241" s="221" t="s">
        <v>109</v>
      </c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  <c r="AB241" s="221"/>
      <c r="AC241" s="221"/>
      <c r="AD241" s="221"/>
      <c r="AE241" s="221"/>
      <c r="AF241" s="221"/>
      <c r="AG241" s="222"/>
      <c r="AH241" s="262"/>
    </row>
    <row r="242" spans="1:34" ht="61.2" x14ac:dyDescent="0.3">
      <c r="A242" s="263" t="s">
        <v>110</v>
      </c>
      <c r="B242" s="133" t="s">
        <v>2</v>
      </c>
      <c r="C242" s="47"/>
      <c r="D242" s="47"/>
      <c r="E242" s="47"/>
      <c r="F242" s="264" t="s">
        <v>6</v>
      </c>
      <c r="G242" s="264" t="s">
        <v>6</v>
      </c>
      <c r="H242" s="264" t="s">
        <v>7</v>
      </c>
      <c r="I242" s="264" t="s">
        <v>7</v>
      </c>
      <c r="J242" s="47"/>
      <c r="K242" s="47"/>
      <c r="L242" s="47"/>
      <c r="M242" s="47"/>
      <c r="N242" s="47" t="s">
        <v>6</v>
      </c>
      <c r="O242" s="47" t="s">
        <v>6</v>
      </c>
      <c r="P242" s="47" t="s">
        <v>6</v>
      </c>
      <c r="Q242" s="47" t="s">
        <v>7</v>
      </c>
      <c r="R242" s="47"/>
      <c r="S242" s="47"/>
      <c r="T242" s="47"/>
      <c r="U242" s="47"/>
      <c r="V242" s="47" t="s">
        <v>6</v>
      </c>
      <c r="W242" s="47" t="s">
        <v>6</v>
      </c>
      <c r="X242" s="47" t="s">
        <v>7</v>
      </c>
      <c r="Y242" s="66" t="s">
        <v>7</v>
      </c>
      <c r="Z242" s="47"/>
      <c r="AA242" s="47"/>
      <c r="AB242" s="47"/>
      <c r="AC242" s="47"/>
      <c r="AD242" s="47" t="s">
        <v>6</v>
      </c>
      <c r="AE242" s="265"/>
      <c r="AF242" s="265"/>
      <c r="AG242" s="266"/>
      <c r="AH242" s="267">
        <f>COUNTIF(C242:AG242,"Д")+COUNTIF(C242:AG242,"Н")+COUNTIF(C242:AG242,"ПД")+COUNTIF(C242:AG242,"ПН")+COUNTIF(C242:AG242,"Д/8")</f>
        <v>13</v>
      </c>
    </row>
    <row r="243" spans="1:34" ht="20.399999999999999" x14ac:dyDescent="0.3">
      <c r="A243" s="263"/>
      <c r="B243" s="26" t="e">
        <f>AVERAGE(C243:AG243)</f>
        <v>#DIV/0!</v>
      </c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66"/>
      <c r="Z243" s="268"/>
      <c r="AA243" s="268"/>
      <c r="AB243" s="268"/>
      <c r="AC243" s="268"/>
      <c r="AD243" s="268"/>
      <c r="AE243" s="265"/>
      <c r="AF243" s="265"/>
      <c r="AG243" s="266"/>
      <c r="AH243" s="269"/>
    </row>
    <row r="244" spans="1:34" ht="20.399999999999999" x14ac:dyDescent="0.3">
      <c r="A244" s="270"/>
      <c r="B244" s="29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66"/>
      <c r="Z244" s="49"/>
      <c r="AA244" s="49"/>
      <c r="AB244" s="49"/>
      <c r="AC244" s="49"/>
      <c r="AD244" s="49"/>
      <c r="AE244" s="265"/>
      <c r="AF244" s="265"/>
      <c r="AG244" s="266"/>
      <c r="AH244" s="271"/>
    </row>
    <row r="245" spans="1:34" ht="61.2" x14ac:dyDescent="0.3">
      <c r="A245" s="263" t="s">
        <v>111</v>
      </c>
      <c r="B245" s="65" t="s">
        <v>2</v>
      </c>
      <c r="C245" s="47" t="s">
        <v>7</v>
      </c>
      <c r="D245" s="47"/>
      <c r="E245" s="47"/>
      <c r="F245" s="47"/>
      <c r="G245" s="200" t="s">
        <v>6</v>
      </c>
      <c r="H245" s="47" t="s">
        <v>6</v>
      </c>
      <c r="I245" s="47" t="s">
        <v>6</v>
      </c>
      <c r="J245" s="47" t="s">
        <v>7</v>
      </c>
      <c r="K245" s="47" t="s">
        <v>7</v>
      </c>
      <c r="L245" s="47" t="s">
        <v>7</v>
      </c>
      <c r="M245" s="47"/>
      <c r="N245" s="47"/>
      <c r="O245" s="47"/>
      <c r="P245" s="66" t="s">
        <v>15</v>
      </c>
      <c r="Q245" s="66" t="s">
        <v>15</v>
      </c>
      <c r="R245" s="66" t="s">
        <v>15</v>
      </c>
      <c r="S245" s="66" t="s">
        <v>15</v>
      </c>
      <c r="T245" s="66" t="s">
        <v>15</v>
      </c>
      <c r="U245" s="66" t="s">
        <v>15</v>
      </c>
      <c r="V245" s="66" t="s">
        <v>15</v>
      </c>
      <c r="W245" s="66" t="s">
        <v>15</v>
      </c>
      <c r="X245" s="66" t="s">
        <v>15</v>
      </c>
      <c r="Y245" s="66"/>
      <c r="Z245" s="66" t="s">
        <v>15</v>
      </c>
      <c r="AA245" s="66" t="s">
        <v>15</v>
      </c>
      <c r="AB245" s="66" t="s">
        <v>15</v>
      </c>
      <c r="AC245" s="66" t="s">
        <v>15</v>
      </c>
      <c r="AD245" s="66" t="s">
        <v>15</v>
      </c>
      <c r="AE245" s="265"/>
      <c r="AF245" s="265"/>
      <c r="AG245" s="266"/>
      <c r="AH245" s="272">
        <f>COUNTIF(C245:AG245,"Д")+COUNTIF(C245:AG245,"Н")+COUNTIF(C245:AG245,"ПД")+COUNTIF(C245:AG245,"ПН")+COUNTIF(C245:AG245,"Д/8")</f>
        <v>7</v>
      </c>
    </row>
    <row r="246" spans="1:34" ht="20.399999999999999" x14ac:dyDescent="0.3">
      <c r="A246" s="263"/>
      <c r="B246" s="26" t="e">
        <f>AVERAGE(C246:AG246)</f>
        <v>#DIV/0!</v>
      </c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66"/>
      <c r="Z246" s="47"/>
      <c r="AA246" s="47"/>
      <c r="AB246" s="47"/>
      <c r="AC246" s="268"/>
      <c r="AD246" s="268"/>
      <c r="AE246" s="265"/>
      <c r="AF246" s="265"/>
      <c r="AG246" s="266"/>
      <c r="AH246" s="273"/>
    </row>
    <row r="247" spans="1:34" ht="20.399999999999999" x14ac:dyDescent="0.3">
      <c r="A247" s="270"/>
      <c r="B247" s="29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66"/>
      <c r="Z247" s="47"/>
      <c r="AA247" s="58"/>
      <c r="AB247" s="58"/>
      <c r="AC247" s="58"/>
      <c r="AD247" s="58"/>
      <c r="AE247" s="265"/>
      <c r="AF247" s="265"/>
      <c r="AG247" s="266"/>
      <c r="AH247" s="271"/>
    </row>
    <row r="248" spans="1:34" ht="61.2" x14ac:dyDescent="0.3">
      <c r="A248" s="263" t="s">
        <v>112</v>
      </c>
      <c r="B248" s="125" t="s">
        <v>2</v>
      </c>
      <c r="C248" s="47" t="s">
        <v>6</v>
      </c>
      <c r="D248" s="47" t="s">
        <v>7</v>
      </c>
      <c r="E248" s="47" t="s">
        <v>7</v>
      </c>
      <c r="F248" s="47"/>
      <c r="G248" s="47"/>
      <c r="H248" s="47"/>
      <c r="I248" s="47"/>
      <c r="J248" s="47" t="s">
        <v>6</v>
      </c>
      <c r="K248" s="47" t="s">
        <v>6</v>
      </c>
      <c r="L248" s="47" t="s">
        <v>6</v>
      </c>
      <c r="M248" s="47" t="s">
        <v>7</v>
      </c>
      <c r="N248" s="47"/>
      <c r="O248" s="47"/>
      <c r="P248" s="47"/>
      <c r="Q248" s="47"/>
      <c r="R248" s="47" t="s">
        <v>6</v>
      </c>
      <c r="S248" s="47" t="s">
        <v>6</v>
      </c>
      <c r="T248" s="47" t="s">
        <v>7</v>
      </c>
      <c r="U248" s="47" t="s">
        <v>7</v>
      </c>
      <c r="V248" s="47"/>
      <c r="W248" s="47"/>
      <c r="X248" s="47"/>
      <c r="Y248" s="274"/>
      <c r="Z248" s="47" t="s">
        <v>6</v>
      </c>
      <c r="AA248" s="47" t="s">
        <v>6</v>
      </c>
      <c r="AB248" s="47" t="s">
        <v>7</v>
      </c>
      <c r="AC248" s="47" t="s">
        <v>7</v>
      </c>
      <c r="AD248" s="275"/>
      <c r="AE248" s="265"/>
      <c r="AF248" s="265"/>
      <c r="AG248" s="266"/>
      <c r="AH248" s="276">
        <f>COUNTIF(C248:AG248,"Д")+COUNTIF(C248:AG248,"Н")+COUNTIF(C248:AG248,"ПД")+COUNTIF(C248:AG248,"ПН")+COUNTIF(C248:AG248,"Д/8")</f>
        <v>15</v>
      </c>
    </row>
    <row r="249" spans="1:34" ht="20.399999999999999" x14ac:dyDescent="0.3">
      <c r="A249" s="277"/>
      <c r="B249" s="278" t="e">
        <f>AVERAGE(C249:AF249)</f>
        <v>#DIV/0!</v>
      </c>
      <c r="C249" s="275"/>
      <c r="D249" s="275"/>
      <c r="E249" s="275"/>
      <c r="F249" s="47"/>
      <c r="G249" s="275"/>
      <c r="H249" s="275"/>
      <c r="I249" s="47"/>
      <c r="J249" s="275"/>
      <c r="K249" s="275"/>
      <c r="L249" s="47"/>
      <c r="M249" s="47"/>
      <c r="N249" s="47"/>
      <c r="O249" s="275"/>
      <c r="P249" s="275"/>
      <c r="Q249" s="47"/>
      <c r="R249" s="275"/>
      <c r="S249" s="275"/>
      <c r="T249" s="47"/>
      <c r="U249" s="275"/>
      <c r="V249" s="275"/>
      <c r="W249" s="275"/>
      <c r="X249" s="275"/>
      <c r="Y249" s="66"/>
      <c r="Z249" s="275"/>
      <c r="AA249" s="275"/>
      <c r="AB249" s="275"/>
      <c r="AC249" s="275"/>
      <c r="AD249" s="275"/>
      <c r="AE249" s="265"/>
      <c r="AF249" s="265"/>
      <c r="AG249" s="266"/>
      <c r="AH249" s="273"/>
    </row>
    <row r="250" spans="1:34" ht="20.399999999999999" x14ac:dyDescent="0.3">
      <c r="A250" s="279"/>
      <c r="B250" s="280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75"/>
      <c r="P250" s="275"/>
      <c r="Q250" s="275"/>
      <c r="R250" s="275"/>
      <c r="S250" s="275"/>
      <c r="T250" s="275"/>
      <c r="U250" s="275"/>
      <c r="V250" s="275"/>
      <c r="W250" s="275"/>
      <c r="X250" s="275"/>
      <c r="Y250" s="274"/>
      <c r="Z250" s="281"/>
      <c r="AA250" s="281"/>
      <c r="AB250" s="281"/>
      <c r="AC250" s="281"/>
      <c r="AD250" s="281"/>
      <c r="AE250" s="265"/>
      <c r="AF250" s="265"/>
      <c r="AG250" s="266"/>
      <c r="AH250" s="282"/>
    </row>
    <row r="251" spans="1:34" ht="81.599999999999994" x14ac:dyDescent="0.3">
      <c r="A251" s="277" t="s">
        <v>113</v>
      </c>
      <c r="B251" s="283" t="s">
        <v>2</v>
      </c>
      <c r="C251" s="275"/>
      <c r="D251" s="275"/>
      <c r="E251" s="275"/>
      <c r="F251" s="47" t="s">
        <v>6</v>
      </c>
      <c r="G251" s="47" t="s">
        <v>6</v>
      </c>
      <c r="H251" s="47" t="s">
        <v>7</v>
      </c>
      <c r="I251" s="47" t="s">
        <v>7</v>
      </c>
      <c r="J251" s="47"/>
      <c r="K251" s="47"/>
      <c r="L251" s="47"/>
      <c r="M251" s="47" t="s">
        <v>6</v>
      </c>
      <c r="N251" s="264" t="s">
        <v>6</v>
      </c>
      <c r="O251" s="47" t="s">
        <v>7</v>
      </c>
      <c r="P251" s="264" t="s">
        <v>7</v>
      </c>
      <c r="Q251" s="47"/>
      <c r="R251" s="47"/>
      <c r="S251" s="47"/>
      <c r="T251" s="47" t="s">
        <v>6</v>
      </c>
      <c r="U251" s="47" t="s">
        <v>6</v>
      </c>
      <c r="V251" s="47" t="s">
        <v>7</v>
      </c>
      <c r="W251" s="47" t="s">
        <v>7</v>
      </c>
      <c r="X251" s="47"/>
      <c r="Y251" s="66"/>
      <c r="Z251" s="47"/>
      <c r="AA251" s="47"/>
      <c r="AB251" s="47" t="s">
        <v>6</v>
      </c>
      <c r="AC251" s="47" t="s">
        <v>6</v>
      </c>
      <c r="AD251" s="47" t="s">
        <v>7</v>
      </c>
      <c r="AE251" s="265"/>
      <c r="AF251" s="265"/>
      <c r="AG251" s="266"/>
      <c r="AH251" s="284">
        <f>COUNTIF(C251:AG251,"Д")+COUNTIF(C251:AG251,"Н")+COUNTIF(C251:AG251,"ПД")+COUNTIF(C251:AG251,"ПН")+COUNTIF(C251:AG251,"Д/8")</f>
        <v>15</v>
      </c>
    </row>
    <row r="252" spans="1:34" ht="20.399999999999999" x14ac:dyDescent="0.3">
      <c r="A252" s="263"/>
      <c r="B252" s="26" t="e">
        <f>AVERAGE(C252:AG252)</f>
        <v>#DIV/0!</v>
      </c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275"/>
      <c r="P252" s="275"/>
      <c r="Q252" s="275"/>
      <c r="R252" s="275"/>
      <c r="S252" s="275"/>
      <c r="T252" s="275"/>
      <c r="U252" s="275"/>
      <c r="V252" s="275"/>
      <c r="W252" s="275"/>
      <c r="X252" s="275"/>
      <c r="Y252" s="274"/>
      <c r="Z252" s="275"/>
      <c r="AA252" s="275"/>
      <c r="AB252" s="275"/>
      <c r="AC252" s="275"/>
      <c r="AD252" s="275"/>
      <c r="AE252" s="265"/>
      <c r="AF252" s="265"/>
      <c r="AG252" s="266"/>
      <c r="AH252" s="273"/>
    </row>
    <row r="253" spans="1:34" ht="20.399999999999999" x14ac:dyDescent="0.3">
      <c r="A253" s="270"/>
      <c r="B253" s="5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66"/>
      <c r="Z253" s="285"/>
      <c r="AA253" s="285"/>
      <c r="AB253" s="285"/>
      <c r="AC253" s="285"/>
      <c r="AD253" s="285"/>
      <c r="AE253" s="265"/>
      <c r="AF253" s="265"/>
      <c r="AG253" s="266"/>
      <c r="AH253" s="271"/>
    </row>
  </sheetData>
  <protectedRanges>
    <protectedRange algorithmName="SHA-512" hashValue="irS21jLmsKL4sDvhSkj3vEY+dhJmVIrv9MQusfs5RUcvc0QWDoMpKu6/gdE83+NqPgsFejneYxwX3YXSWsg+dQ==" saltValue="TCn8UjNtDjzrHiQxeXyIzg==" spinCount="100000" sqref="AH252:AH253 AH247 AH244" name="Диапазон2_1_1"/>
  </protectedRanges>
  <mergeCells count="2">
    <mergeCell ref="C1:AG1"/>
    <mergeCell ref="AH1:AH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VALDEMAR</dc:creator>
  <cp:lastModifiedBy>VALDEMAR</cp:lastModifiedBy>
  <dcterms:created xsi:type="dcterms:W3CDTF">2026-01-28T18:59:14Z</dcterms:created>
  <dcterms:modified xsi:type="dcterms:W3CDTF">2026-01-28T19:00:08Z</dcterms:modified>
</cp:coreProperties>
</file>